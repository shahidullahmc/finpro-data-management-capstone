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f84d911d157f64/Data Engineering/Data Management Capstone/dmc m1/clean-prep/"/>
    </mc:Choice>
  </mc:AlternateContent>
  <xr:revisionPtr revIDLastSave="316" documentId="8_{B9818FE1-E147-4A57-8083-4AFE9368C1EE}" xr6:coauthVersionLast="47" xr6:coauthVersionMax="47" xr10:uidLastSave="{6DBE4D35-BE31-4FA1-9F01-BB68E5B62D5D}"/>
  <bookViews>
    <workbookView xWindow="-120" yWindow="-120" windowWidth="29040" windowHeight="15840" firstSheet="3" xr2:uid="{14CE6065-3B86-4F33-96E0-404749A9DC31}"/>
  </bookViews>
  <sheets>
    <sheet name="Customer_Data" sheetId="2" r:id="rId1"/>
    <sheet name="Transaction_Data" sheetId="3" r:id="rId2"/>
    <sheet name="AgeDistribution" sheetId="4" r:id="rId3"/>
    <sheet name="BalanceDistribution" sheetId="5" r:id="rId4"/>
    <sheet name="CountrywideDistribution" sheetId="6" r:id="rId5"/>
    <sheet name="MonthlyTransaction" sheetId="7" r:id="rId6"/>
    <sheet name="TransactionType" sheetId="8" r:id="rId7"/>
    <sheet name="AverageTransactionAmount" sheetId="9" r:id="rId8"/>
    <sheet name="Summary_Sheet" sheetId="1" r:id="rId9"/>
  </sheets>
  <definedNames>
    <definedName name="ExternalData_1" localSheetId="0" hidden="1">'Customer_Data'!$A$1:$J$21</definedName>
    <definedName name="ExternalData_1" localSheetId="1" hidden="1">Transaction_Data!$A$1:$F$21</definedName>
  </definedNames>
  <calcPr calcId="191029"/>
  <pivotCaches>
    <pivotCache cacheId="5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M2" i="2" s="1"/>
  <c r="K3" i="2"/>
  <c r="M3" i="2" s="1"/>
  <c r="K4" i="2"/>
  <c r="M4" i="2" s="1"/>
  <c r="K5" i="2"/>
  <c r="K6" i="2"/>
  <c r="M6" i="2" s="1"/>
  <c r="K7" i="2"/>
  <c r="M7" i="2" s="1"/>
  <c r="K8" i="2"/>
  <c r="M8" i="2" s="1"/>
  <c r="K9" i="2"/>
  <c r="M9" i="2" s="1"/>
  <c r="K10" i="2"/>
  <c r="M10" i="2" s="1"/>
  <c r="K11" i="2"/>
  <c r="M11" i="2" s="1"/>
  <c r="K12" i="2"/>
  <c r="M12" i="2" s="1"/>
  <c r="K13" i="2"/>
  <c r="M13" i="2" s="1"/>
  <c r="K14" i="2"/>
  <c r="M14" i="2" s="1"/>
  <c r="K15" i="2"/>
  <c r="M15" i="2" s="1"/>
  <c r="K16" i="2"/>
  <c r="M16" i="2" s="1"/>
  <c r="K17" i="2"/>
  <c r="K18" i="2"/>
  <c r="M18" i="2" s="1"/>
  <c r="K19" i="2"/>
  <c r="M19" i="2" s="1"/>
  <c r="K20" i="2"/>
  <c r="M20" i="2" s="1"/>
  <c r="K21" i="2"/>
  <c r="M21" i="2" s="1"/>
  <c r="M17" i="2"/>
  <c r="M5" i="2"/>
  <c r="C2" i="1"/>
  <c r="C1" i="1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08F79C-E857-415B-8244-2B46BBA43409}" keepAlive="1" name="Query - Customer_Data" description="Connection to the 'Customer_Data' query in the workbook." type="5" refreshedVersion="8" background="1" saveData="1">
    <dbPr connection="Provider=Microsoft.Mashup.OleDb.1;Data Source=$Workbook$;Location=Customer_Data;Extended Properties=&quot;&quot;" command="SELECT * FROM [Customer_Data]"/>
  </connection>
  <connection id="2" xr16:uid="{DD140B2E-C8CE-45B2-930C-81C5E34DFA71}" keepAlive="1" name="Query - Transaction_Data" description="Connection to the 'Transaction_Data' query in the workbook." type="5" refreshedVersion="8" background="1" saveData="1">
    <dbPr connection="Provider=Microsoft.Mashup.OleDb.1;Data Source=$Workbook$;Location=Transaction_Data;Extended Properties=&quot;&quot;" command="SELECT * FROM [Transaction_Data]"/>
  </connection>
</connections>
</file>

<file path=xl/sharedStrings.xml><?xml version="1.0" encoding="utf-8"?>
<sst xmlns="http://schemas.openxmlformats.org/spreadsheetml/2006/main" count="263" uniqueCount="140">
  <si>
    <t>CustomerID</t>
  </si>
  <si>
    <t>CustomerName</t>
  </si>
  <si>
    <t>Email</t>
  </si>
  <si>
    <t>DateOfBirth</t>
  </si>
  <si>
    <t>AccountId</t>
  </si>
  <si>
    <t>AccountType</t>
  </si>
  <si>
    <t>BranchCode</t>
  </si>
  <si>
    <t>Country</t>
  </si>
  <si>
    <t>DateJoined</t>
  </si>
  <si>
    <t>Balance</t>
  </si>
  <si>
    <t>Alice Johnson</t>
  </si>
  <si>
    <t>alice.j@example.com</t>
  </si>
  <si>
    <t>ACCT-10002345</t>
  </si>
  <si>
    <t>Savings</t>
  </si>
  <si>
    <t>BR001</t>
  </si>
  <si>
    <t>Bob Smith</t>
  </si>
  <si>
    <t>bob.smith@xyz.com</t>
  </si>
  <si>
    <t>ACCT-10005678</t>
  </si>
  <si>
    <t>Checking</t>
  </si>
  <si>
    <t>BR002</t>
  </si>
  <si>
    <t>United States</t>
  </si>
  <si>
    <t>Cathy Davis</t>
  </si>
  <si>
    <t>cathy.davis@example.com</t>
  </si>
  <si>
    <t>ACCT-10007891</t>
  </si>
  <si>
    <t>BR003</t>
  </si>
  <si>
    <t>David Lee</t>
  </si>
  <si>
    <t>david.l@xyz.com</t>
  </si>
  <si>
    <t>ACCT-10001234</t>
  </si>
  <si>
    <t>BR004</t>
  </si>
  <si>
    <t>Eva Turner</t>
  </si>
  <si>
    <t>ACCT-10003456</t>
  </si>
  <si>
    <t>BR005</t>
  </si>
  <si>
    <t>Frank Zhang</t>
  </si>
  <si>
    <t>ACCT-10004567</t>
  </si>
  <si>
    <t>BR006</t>
  </si>
  <si>
    <t>Gina King</t>
  </si>
  <si>
    <t>ACCT-10008901</t>
  </si>
  <si>
    <t>BR007</t>
  </si>
  <si>
    <t>Canada</t>
  </si>
  <si>
    <t>Harry Brown</t>
  </si>
  <si>
    <t>ACCT-10006789</t>
  </si>
  <si>
    <t>BR008</t>
  </si>
  <si>
    <t>Ivy Scott</t>
  </si>
  <si>
    <t>ACCT-10009876</t>
  </si>
  <si>
    <t>BR009</t>
  </si>
  <si>
    <t>John Doe</t>
  </si>
  <si>
    <t>ACCT-10005432</t>
  </si>
  <si>
    <t>BR010</t>
  </si>
  <si>
    <t>Karen Green</t>
  </si>
  <si>
    <t>ACCT-10007654</t>
  </si>
  <si>
    <t>BR011</t>
  </si>
  <si>
    <t>Liam Miller</t>
  </si>
  <si>
    <t>ACCT-10004321</t>
  </si>
  <si>
    <t>BR012</t>
  </si>
  <si>
    <t>United Kingdom</t>
  </si>
  <si>
    <t>Mona Blue</t>
  </si>
  <si>
    <t>ACCT-10002134</t>
  </si>
  <si>
    <t>BR013</t>
  </si>
  <si>
    <t>Nate White</t>
  </si>
  <si>
    <t>ACCT-10006543</t>
  </si>
  <si>
    <t>BR014</t>
  </si>
  <si>
    <t>Olivia Black</t>
  </si>
  <si>
    <t>ACCT-10003210</t>
  </si>
  <si>
    <t>BR015</t>
  </si>
  <si>
    <t>Paul Walker</t>
  </si>
  <si>
    <t>ACCT-10005478</t>
  </si>
  <si>
    <t>BR016</t>
  </si>
  <si>
    <t>Australia</t>
  </si>
  <si>
    <t>Quinn Red</t>
  </si>
  <si>
    <t>ACCT-10008765</t>
  </si>
  <si>
    <t>BR017</t>
  </si>
  <si>
    <t>Rose Pink</t>
  </si>
  <si>
    <t>ACCT-10002301</t>
  </si>
  <si>
    <t>BR018</t>
  </si>
  <si>
    <t>New Zealand</t>
  </si>
  <si>
    <t>Sam Grey</t>
  </si>
  <si>
    <t>ACCT-10007621</t>
  </si>
  <si>
    <t>BR019</t>
  </si>
  <si>
    <t>Tim Orange</t>
  </si>
  <si>
    <t>ACCT-10003489</t>
  </si>
  <si>
    <t>BR020</t>
  </si>
  <si>
    <t>TransactionID</t>
  </si>
  <si>
    <t>TransactionDate</t>
  </si>
  <si>
    <t>TransactionType</t>
  </si>
  <si>
    <t>TransactionAmount</t>
  </si>
  <si>
    <t>TransactionLocation</t>
  </si>
  <si>
    <t>Deposit</t>
  </si>
  <si>
    <t>Withdrawal</t>
  </si>
  <si>
    <t>New York</t>
  </si>
  <si>
    <t>Cincinnati</t>
  </si>
  <si>
    <t>Texas</t>
  </si>
  <si>
    <t>Dallas</t>
  </si>
  <si>
    <t>No Email Provided</t>
  </si>
  <si>
    <t>Los Angeles</t>
  </si>
  <si>
    <t>San Francisco</t>
  </si>
  <si>
    <t>CustomerAge</t>
  </si>
  <si>
    <t>TransactionMonth</t>
  </si>
  <si>
    <t>BalanceCategory</t>
  </si>
  <si>
    <t>AgeGroup</t>
  </si>
  <si>
    <t>Row Labels</t>
  </si>
  <si>
    <t>26-35</t>
  </si>
  <si>
    <t>36-50</t>
  </si>
  <si>
    <t>Missing DOB</t>
  </si>
  <si>
    <t>Grand Total</t>
  </si>
  <si>
    <t>Count of CustomerID</t>
  </si>
  <si>
    <t>Sum of Balance</t>
  </si>
  <si>
    <t>High Balance</t>
  </si>
  <si>
    <t>Low Balance</t>
  </si>
  <si>
    <t>Medium Balance</t>
  </si>
  <si>
    <t>Column Labels</t>
  </si>
  <si>
    <t>TransactionYear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</si>
  <si>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</si>
  <si>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</si>
  <si>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</si>
  <si>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</si>
  <si>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</si>
  <si>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</si>
  <si>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</si>
  <si>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</si>
  <si>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</si>
  <si>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</si>
  <si>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</si>
  <si>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</si>
  <si>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TransactionID</t>
  </si>
  <si>
    <t>TransactionMonthYear</t>
  </si>
  <si>
    <t>Apr-2022</t>
  </si>
  <si>
    <t>Aug-2022</t>
  </si>
  <si>
    <t>Dec-2022</t>
  </si>
  <si>
    <t>Feb-2022</t>
  </si>
  <si>
    <t>Jan-2022</t>
  </si>
  <si>
    <t>Jul-2022</t>
  </si>
  <si>
    <t>Jun-2022</t>
  </si>
  <si>
    <t>Mar-2022</t>
  </si>
  <si>
    <t>May-2022</t>
  </si>
  <si>
    <t>Nov-2022</t>
  </si>
  <si>
    <t>Oct-2022</t>
  </si>
  <si>
    <t>Sep-2022</t>
  </si>
  <si>
    <t>Average of TransactionAmount</t>
  </si>
  <si>
    <t>Total Customers</t>
  </si>
  <si>
    <t>Total Monthly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</si>
</sst>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2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[data_cleaned.xlsx]AgeDistribution!PivotTable1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AgeDistribution!$B$3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AgeDistribution!$A$4:$A$7</c:f>
              <c:strCache>
                <c:ptCount val="3"/>
                <c:pt idx="0">
                  <c:v>26-35</c:v>
                </c:pt>
                <c:pt idx="1">
                  <c:v>36-50</c:v>
                </c:pt>
                <c:pt idx="2">
                  <c:v>Missing DOB</c:v>
                </c:pt>
              </c:strCache>
            </c:strRef>
          </c:cat>
          <c:val>
            <c:numRef>
              <c:f>AgeDistribution!$B$4:$B$7</c:f>
              <c:numCache>
                <c:formatCode>General</c:formatCode>
                <c:ptCount val="3"/>
                <c:pt idx="0">
                  <c:v>7</c:v>
                </c:pt>
                <c:pt idx="1">
                  <c:v>11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3-4E22-9799-2F276F71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3093951"/>
        <c:axId val="2001754831"/>
      </c:barChart>
      <c:catAx>
        <c:axId val="200309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754831"/>
        <c:crosses val="autoZero"/>
        <c:auto val="1"/>
        <c:lblAlgn val="ctr"/>
        <c:lblOffset val="100"/>
        <c:noMultiLvlLbl val="0"/>
      </c:catAx>
      <c:valAx>
        <c:axId val="200175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09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[data_cleaned.xlsx]BalanceDistribution!PivotTable2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Balance Distribution by Account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BalanceDistribution!$B$3:$B$4</c:f>
              <c:strCache>
                <c:ptCount val="1"/>
                <c:pt idx="0">
                  <c:v>High 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BalanceDistribution!$A$5:$A$7</c:f>
              <c:strCache>
                <c:ptCount val="2"/>
                <c:pt idx="0">
                  <c:v>Checking</c:v>
                </c:pt>
                <c:pt idx="1">
                  <c:v>Savings</c:v>
                </c:pt>
              </c:strCache>
            </c:strRef>
          </c:cat>
          <c:val>
            <c:numRef>
              <c:f>BalanceDistribution!$B$5:$B$7</c:f>
              <c:numCache>
                <c:formatCode>General</c:formatCode>
                <c:ptCount val="2"/>
                <c:pt idx="0">
                  <c:v>10000</c:v>
                </c:pt>
                <c:pt idx="1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3-47C0-889A-BCDDCB048F1D}"/>
            </c:ext>
          </c:extLst>
        </c:ser>
        <c:ser>
          <c:idx val="1"/>
          <c:order val="1"/>
          <c:tx>
            <c:strRef>
              <c:f>BalanceDistribution!$C$3:$C$4</c:f>
              <c:strCache>
                <c:ptCount val="1"/>
                <c:pt idx="0">
                  <c:v>Low Balance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BalanceDistribution!$A$5:$A$7</c:f>
              <c:strCache>
                <c:ptCount val="2"/>
                <c:pt idx="0">
                  <c:v>Checking</c:v>
                </c:pt>
                <c:pt idx="1">
                  <c:v>Savings</c:v>
                </c:pt>
              </c:strCache>
            </c:strRef>
          </c:cat>
          <c:val>
            <c:numRef>
              <c:f>BalanceDistribution!$C$5:$C$7</c:f>
              <c:numCache>
                <c:formatCode>General</c:formatCode>
                <c:ptCount val="2"/>
                <c:pt idx="0">
                  <c:v>6000</c:v>
                </c:pt>
                <c:pt idx="1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F3-47C0-889A-BCDDCB048F1D}"/>
            </c:ext>
          </c:extLst>
        </c:ser>
        <c:ser>
          <c:idx val="2"/>
          <c:order val="2"/>
          <c:tx>
            <c:strRef>
              <c:f>BalanceDistribution!$D$3:$D$4</c:f>
              <c:strCache>
                <c:ptCount val="1"/>
                <c:pt idx="0">
                  <c:v>Medium Balance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BalanceDistribution!$A$5:$A$7</c:f>
              <c:strCache>
                <c:ptCount val="2"/>
                <c:pt idx="0">
                  <c:v>Checking</c:v>
                </c:pt>
                <c:pt idx="1">
                  <c:v>Savings</c:v>
                </c:pt>
              </c:strCache>
            </c:strRef>
          </c:cat>
          <c:val>
            <c:numRef>
              <c:f>BalanceDistribution!$D$5:$D$7</c:f>
              <c:numCache>
                <c:formatCode>General</c:formatCode>
                <c:ptCount val="2"/>
                <c:pt idx="0">
                  <c:v>14200</c:v>
                </c:pt>
                <c:pt idx="1">
                  <c:v>44200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F3-47C0-889A-BCDDCB04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3556463"/>
        <c:axId val="583558863"/>
      </c:barChart>
      <c:catAx>
        <c:axId val="58355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558863"/>
        <c:crosses val="autoZero"/>
        <c:auto val="1"/>
        <c:lblAlgn val="ctr"/>
        <c:lblOffset val="100"/>
        <c:noMultiLvlLbl val="0"/>
      </c:catAx>
      <c:valAx>
        <c:axId val="58355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55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[data_cleaned.xlsx]CountrywideDistribution!PivotTable3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Countrywide</a:t>
            </a:r>
            <a:r>
              <a:rPr lang="en-US" baseline="0"/>
              <a:t>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CountrywideDistribution!$B$3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2C-4FF5-9126-0F6D532BBA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2C-4FF5-9126-0F6D532BBA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2C-4FF5-9126-0F6D532BBA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2C-4FF5-9126-0F6D532BBA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F2C-4FF5-9126-0F6D532BBA70}"/>
              </c:ext>
            </c:extLst>
          </c:dPt>
          <c:cat>
            <c:strRef>
              <c:f>CountrywideDistribution!$A$4:$A$9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New Zealand</c:v>
                </c:pt>
                <c:pt idx="3">
                  <c:v>United Kingdom</c:v>
                </c:pt>
                <c:pt idx="4">
                  <c:v>United States</c:v>
                </c:pt>
              </c:strCache>
            </c:strRef>
          </c:cat>
          <c:val>
            <c:numRef>
              <c:f>CountrywideDistribution!$B$4:$B$9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8-4CB8-A7E6-A442AAE0C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[data_cleaned.xlsx]MonthlyTransaction!PivotTable4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Transaction Volume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MonthlyTransaction!$B$3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MonthlyTransaction!$A$4:$A$16</c:f>
              <c:strCache>
                <c:ptCount val="12"/>
                <c:pt idx="0">
                  <c:v>Apr-2022</c:v>
                </c:pt>
                <c:pt idx="1">
                  <c:v>Aug-2022</c:v>
                </c:pt>
                <c:pt idx="2">
                  <c:v>Dec-2022</c:v>
                </c:pt>
                <c:pt idx="3">
                  <c:v>Feb-2022</c:v>
                </c:pt>
                <c:pt idx="4">
                  <c:v>Jan-2022</c:v>
                </c:pt>
                <c:pt idx="5">
                  <c:v>Jul-2022</c:v>
                </c:pt>
                <c:pt idx="6">
                  <c:v>Jun-2022</c:v>
                </c:pt>
                <c:pt idx="7">
                  <c:v>Mar-2022</c:v>
                </c:pt>
                <c:pt idx="8">
                  <c:v>May-2022</c:v>
                </c:pt>
                <c:pt idx="9">
                  <c:v>Nov-2022</c:v>
                </c:pt>
                <c:pt idx="10">
                  <c:v>Oct-2022</c:v>
                </c:pt>
                <c:pt idx="11">
                  <c:v>Sep-2022</c:v>
                </c:pt>
              </c:strCache>
            </c:strRef>
          </c:cat>
          <c:val>
            <c:numRef>
              <c:f>MonthlyTransaction!$B$4:$B$16</c:f>
              <c:numCache>
                <c:formatCode>General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9-4582-AFD8-2B3126DF1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932111"/>
        <c:axId val="510934511"/>
      </c:lineChart>
      <c:catAx>
        <c:axId val="51093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34511"/>
        <c:crosses val="autoZero"/>
        <c:auto val="1"/>
        <c:lblAlgn val="ctr"/>
        <c:lblOffset val="100"/>
        <c:noMultiLvlLbl val="0"/>
      </c:catAx>
      <c:valAx>
        <c:axId val="51093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3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[data_cleaned.xlsx]TransactionType!PivotTable5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Transaction Type Breakdown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TransactionType!$B$3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B6-4BB0-BE97-C3FA105AC1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B6-4BB0-BE97-C3FA105AC189}"/>
              </c:ext>
            </c:extLst>
          </c:dPt>
          <c:cat>
            <c:strRef>
              <c:f>TransactionType!$A$4:$A$6</c:f>
              <c:strCache>
                <c:ptCount val="2"/>
                <c:pt idx="0">
                  <c:v>Deposit</c:v>
                </c:pt>
                <c:pt idx="1">
                  <c:v>Withdrawal</c:v>
                </c:pt>
              </c:strCache>
            </c:strRef>
          </c:cat>
          <c:val>
            <c:numRef>
              <c:f>TransactionType!$B$4:$B$6</c:f>
              <c:numCache>
                <c:formatCode>General</c:formatCode>
                <c:ptCount val="2"/>
                <c:pt idx="0">
                  <c:v>11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0-4CEB-B1D8-30A52C00C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[data_cleaned.xlsx]AverageTransactionAmount!PivotTable6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Transaction Amount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AverageTransactionAmount!$B$3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AverageTransactionAmount!$A$4:$A$16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AverageTransactionAmount!$B$4:$B$16</c:f>
              <c:numCache>
                <c:formatCode>General</c:formatCode>
                <c:ptCount val="12"/>
                <c:pt idx="0">
                  <c:v>750</c:v>
                </c:pt>
                <c:pt idx="1">
                  <c:v>0</c:v>
                </c:pt>
                <c:pt idx="2">
                  <c:v>400</c:v>
                </c:pt>
                <c:pt idx="3">
                  <c:v>283.33333333333331</c:v>
                </c:pt>
                <c:pt idx="4">
                  <c:v>400</c:v>
                </c:pt>
                <c:pt idx="5">
                  <c:v>550</c:v>
                </c:pt>
                <c:pt idx="6">
                  <c:v>400</c:v>
                </c:pt>
                <c:pt idx="7">
                  <c:v>600</c:v>
                </c:pt>
                <c:pt idx="8">
                  <c:v>0</c:v>
                </c:pt>
                <c:pt idx="9">
                  <c:v>400</c:v>
                </c:pt>
                <c:pt idx="10">
                  <c:v>100</c:v>
                </c:pt>
                <c:pt idx="1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5-470B-B168-3E5F1F4B7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7970015"/>
        <c:axId val="1977970975"/>
      </c:barChart>
      <c:catAx>
        <c:axId val="197797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970975"/>
        <c:crosses val="autoZero"/>
        <c:auto val="1"/>
        <c:lblAlgn val="ctr"/>
        <c:lblOffset val="100"/>
        <c:noMultiLvlLbl val="0"/>
      </c:catAx>
      <c:valAx>
        <c:axId val="197797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97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4762</xdr:rowOff>
    </xdr:from>
    <xdr:to>
      <xdr:col>10</xdr:col>
      <xdr:colOff>238125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DB3CCF-F306-302B-F722-83EF1F40E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185737</xdr:rowOff>
    </xdr:from>
    <xdr:to>
      <xdr:col>13</xdr:col>
      <xdr:colOff>304800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4A37F1-A4B3-0CA9-CE69-C4EC5B7B4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166687</xdr:rowOff>
    </xdr:from>
    <xdr:to>
      <xdr:col>10</xdr:col>
      <xdr:colOff>314325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5F180B-AB57-DBB5-D1E6-A105FC54B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33337</xdr:rowOff>
    </xdr:from>
    <xdr:to>
      <xdr:col>10</xdr:col>
      <xdr:colOff>304800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809D26-0CF6-42EA-4029-1FFD3DCA4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4762</xdr:rowOff>
    </xdr:from>
    <xdr:to>
      <xdr:col>10</xdr:col>
      <xdr:colOff>314325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731EC7-C72F-E8EE-A547-9019F4372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2</xdr:row>
      <xdr:rowOff>14287</xdr:rowOff>
    </xdr:from>
    <xdr:to>
      <xdr:col>10</xdr:col>
      <xdr:colOff>333375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14EB57-6916-706C-E1CC-9749A6266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1.023257638888" createdVersion="8" refreshedVersion="8" minRefreshableVersion="3" recordCount="20" xr:uid="{2BA130E0-D280-48BC-B669-765A98D013C7}">
  <cacheSource type="worksheet">
    <worksheetSource name="Customer_Data"/>
  </cacheSource>
  <cacheFields count="13">
    <cacheField name="CustomerID" numFmtId="0">
      <sharedItems containsSemiMixedTypes="0" containsString="0" containsNumber="1" containsInteger="1" minValue="101" maxValue="120"/>
    </cacheField>
    <cacheField name="CustomerName" numFmtId="0">
      <sharedItems/>
    </cacheField>
    <cacheField name="Email" numFmtId="0">
      <sharedItems/>
    </cacheField>
    <cacheField name="DateOfBirth" numFmtId="14">
      <sharedItems containsNonDate="0" containsDate="1" containsString="0" containsBlank="1" minDate="1975-12-13T00:00:00" maxDate="1998-07-06T00:00:00"/>
    </cacheField>
    <cacheField name="AccountId" numFmtId="0">
      <sharedItems/>
    </cacheField>
    <cacheField name="AccountType" numFmtId="0">
      <sharedItems count="2">
        <s v="Savings"/>
        <s v="Checking"/>
      </sharedItems>
    </cacheField>
    <cacheField name="BranchCode" numFmtId="0">
      <sharedItems/>
    </cacheField>
    <cacheField name="Country" numFmtId="0">
      <sharedItems count="5">
        <s v="United States"/>
        <s v="Canada"/>
        <s v="United Kingdom"/>
        <s v="Australia"/>
        <s v="New Zealand"/>
      </sharedItems>
    </cacheField>
    <cacheField name="DateJoined" numFmtId="14">
      <sharedItems containsSemiMixedTypes="0" containsNonDate="0" containsDate="1" containsString="0" minDate="2018-06-30T00:00:00" maxDate="2022-03-30T00:00:00"/>
    </cacheField>
    <cacheField name="Balance" numFmtId="0">
      <sharedItems containsSemiMixedTypes="0" containsString="0" containsNumber="1" containsInteger="1" minValue="-1000" maxValue="23000"/>
    </cacheField>
    <cacheField name="CustomerAge" numFmtId="0">
      <sharedItems containsMixedTypes="1" containsNumber="1" containsInteger="1" minValue="27" maxValue="50" count="16">
        <n v="35"/>
        <n v="40"/>
        <n v="33"/>
        <n v="48"/>
        <n v="36"/>
        <n v="50"/>
        <n v="32"/>
        <n v="38"/>
        <s v=""/>
        <n v="41"/>
        <n v="30"/>
        <n v="43"/>
        <n v="27"/>
        <n v="46"/>
        <n v="39"/>
        <n v="42"/>
      </sharedItems>
    </cacheField>
    <cacheField name="BalanceCategory" numFmtId="0">
      <sharedItems count="3">
        <s v="High Balance"/>
        <s v="Low Balance"/>
        <s v="Medium Balance"/>
      </sharedItems>
    </cacheField>
    <cacheField name="AgeGroup" numFmtId="0">
      <sharedItems count="3">
        <s v="26-35"/>
        <s v="36-50"/>
        <s v="Missing DO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1.213614004628" createdVersion="8" refreshedVersion="8" minRefreshableVersion="3" recordCount="20" xr:uid="{398818D0-3C3C-4712-9F5F-2D6448309D6C}">
  <cacheSource type="worksheet">
    <worksheetSource name="Transaction_Data"/>
  </cacheSource>
  <cacheFields count="9">
    <cacheField name="TransactionID" numFmtId="0">
      <sharedItems containsSemiMixedTypes="0" containsString="0" containsNumber="1" containsInteger="1" minValue="201" maxValue="220"/>
    </cacheField>
    <cacheField name="AccountId" numFmtId="0">
      <sharedItems/>
    </cacheField>
    <cacheField name="TransactionDate" numFmtId="14">
      <sharedItems containsSemiMixedTypes="0" containsNonDate="0" containsDate="1" containsString="0" minDate="2022-01-05T00:00:00" maxDate="2022-12-26T00:00:00"/>
    </cacheField>
    <cacheField name="TransactionType" numFmtId="0">
      <sharedItems count="2">
        <s v="Deposit"/>
        <s v="Withdrawal"/>
      </sharedItems>
    </cacheField>
    <cacheField name="TransactionAmount" numFmtId="0">
      <sharedItems containsSemiMixedTypes="0" containsString="0" containsNumber="1" containsInteger="1" minValue="-400" maxValue="1000"/>
    </cacheField>
    <cacheField name="TransactionLocation" numFmtId="0">
      <sharedItems/>
    </cacheField>
    <cacheField name="Transaction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TransactionYear" numFmtId="0">
      <sharedItems containsSemiMixedTypes="0" containsString="0" containsNumber="1" containsInteger="1" minValue="2022" maxValue="2022"/>
    </cacheField>
    <cacheField name="TransactionMonthYear" numFmtId="0">
      <sharedItems count="12">
        <s v="Jan-2022"/>
        <s v="Feb-2022"/>
        <s v="Mar-2022"/>
        <s v="Apr-2022"/>
        <s v="May-2022"/>
        <s v="Jun-2022"/>
        <s v="Jul-2022"/>
        <s v="Aug-2022"/>
        <s v="Sep-2022"/>
        <s v="Oct-2022"/>
        <s v="Nov-2022"/>
        <s v="Dec-20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1"/>
    <s v="Alice Johnson"/>
    <s v="alice.j@example.com"/>
    <d v="1990-05-21T00:00:00"/>
    <s v="ACCT-10002345"/>
    <x v="0"/>
    <s v="BR001"/>
    <x v="0"/>
    <d v="2020-01-15T00:00:00"/>
    <n v="12000"/>
    <x v="0"/>
    <x v="0"/>
    <x v="0"/>
  </r>
  <r>
    <n v="102"/>
    <s v="Bob Smith"/>
    <s v="bob.smith@xyz.com"/>
    <d v="1985-08-15T00:00:00"/>
    <s v="ACCT-10005678"/>
    <x v="1"/>
    <s v="BR002"/>
    <x v="0"/>
    <d v="2019-11-30T00:00:00"/>
    <n v="3000"/>
    <x v="1"/>
    <x v="1"/>
    <x v="1"/>
  </r>
  <r>
    <n v="103"/>
    <s v="Cathy Davis"/>
    <s v="cathy.davis@example.com"/>
    <d v="1992-11-03T00:00:00"/>
    <s v="ACCT-10007891"/>
    <x v="0"/>
    <s v="BR003"/>
    <x v="0"/>
    <d v="2021-06-01T00:00:00"/>
    <n v="8500"/>
    <x v="2"/>
    <x v="2"/>
    <x v="0"/>
  </r>
  <r>
    <n v="104"/>
    <s v="David Lee"/>
    <s v="david.l@xyz.com"/>
    <d v="1978-02-28T00:00:00"/>
    <s v="ACCT-10001234"/>
    <x v="0"/>
    <s v="BR004"/>
    <x v="0"/>
    <d v="2021-03-20T00:00:00"/>
    <n v="5000"/>
    <x v="3"/>
    <x v="2"/>
    <x v="1"/>
  </r>
  <r>
    <n v="105"/>
    <s v="Eva Turner"/>
    <s v="No Email Provided"/>
    <d v="1989-04-07T00:00:00"/>
    <s v="ACCT-10003456"/>
    <x v="1"/>
    <s v="BR005"/>
    <x v="0"/>
    <d v="2020-07-19T00:00:00"/>
    <n v="-1000"/>
    <x v="4"/>
    <x v="1"/>
    <x v="1"/>
  </r>
  <r>
    <n v="106"/>
    <s v="Frank Zhang"/>
    <s v="No Email Provided"/>
    <d v="1975-12-13T00:00:00"/>
    <s v="ACCT-10004567"/>
    <x v="0"/>
    <s v="BR006"/>
    <x v="0"/>
    <d v="2018-09-11T00:00:00"/>
    <n v="7500"/>
    <x v="5"/>
    <x v="2"/>
    <x v="1"/>
  </r>
  <r>
    <n v="107"/>
    <s v="Gina King"/>
    <s v="No Email Provided"/>
    <d v="1993-03-20T00:00:00"/>
    <s v="ACCT-10008901"/>
    <x v="0"/>
    <s v="BR007"/>
    <x v="1"/>
    <d v="2022-01-09T00:00:00"/>
    <n v="20000"/>
    <x v="6"/>
    <x v="0"/>
    <x v="0"/>
  </r>
  <r>
    <n v="108"/>
    <s v="Harry Brown"/>
    <s v="No Email Provided"/>
    <d v="1987-09-15T00:00:00"/>
    <s v="ACCT-10006789"/>
    <x v="1"/>
    <s v="BR008"/>
    <x v="0"/>
    <d v="2020-08-21T00:00:00"/>
    <n v="3500"/>
    <x v="7"/>
    <x v="1"/>
    <x v="1"/>
  </r>
  <r>
    <n v="109"/>
    <s v="Ivy Scott"/>
    <s v="No Email Provided"/>
    <m/>
    <s v="ACCT-10009876"/>
    <x v="0"/>
    <s v="BR009"/>
    <x v="1"/>
    <d v="2021-11-14T00:00:00"/>
    <n v="8000"/>
    <x v="8"/>
    <x v="2"/>
    <x v="2"/>
  </r>
  <r>
    <n v="110"/>
    <s v="John Doe"/>
    <s v="No Email Provided"/>
    <d v="1990-01-01T00:00:00"/>
    <s v="ACCT-10005432"/>
    <x v="0"/>
    <s v="BR010"/>
    <x v="0"/>
    <d v="2022-03-29T00:00:00"/>
    <n v="0"/>
    <x v="4"/>
    <x v="1"/>
    <x v="1"/>
  </r>
  <r>
    <n v="111"/>
    <s v="Karen Green"/>
    <s v="No Email Provided"/>
    <d v="1984-11-11T00:00:00"/>
    <s v="ACCT-10007654"/>
    <x v="0"/>
    <s v="BR011"/>
    <x v="0"/>
    <d v="2021-12-05T00:00:00"/>
    <n v="6000"/>
    <x v="9"/>
    <x v="2"/>
    <x v="1"/>
  </r>
  <r>
    <n v="112"/>
    <s v="Liam Miller"/>
    <s v="No Email Provided"/>
    <d v="1991-02-22T00:00:00"/>
    <s v="ACCT-10004321"/>
    <x v="1"/>
    <s v="BR012"/>
    <x v="2"/>
    <d v="2019-05-25T00:00:00"/>
    <n v="5500"/>
    <x v="0"/>
    <x v="2"/>
    <x v="0"/>
  </r>
  <r>
    <n v="113"/>
    <s v="Mona Blue"/>
    <s v="No Email Provided"/>
    <m/>
    <s v="ACCT-10002134"/>
    <x v="0"/>
    <s v="BR013"/>
    <x v="0"/>
    <d v="2022-01-18T00:00:00"/>
    <n v="4000"/>
    <x v="8"/>
    <x v="1"/>
    <x v="2"/>
  </r>
  <r>
    <n v="114"/>
    <s v="Nate White"/>
    <s v="No Email Provided"/>
    <d v="1995-10-10T00:00:00"/>
    <s v="ACCT-10006543"/>
    <x v="1"/>
    <s v="BR014"/>
    <x v="1"/>
    <d v="2018-06-30T00:00:00"/>
    <n v="10000"/>
    <x v="10"/>
    <x v="0"/>
    <x v="0"/>
  </r>
  <r>
    <n v="115"/>
    <s v="Olivia Black"/>
    <s v="No Email Provided"/>
    <d v="1982-06-16T00:00:00"/>
    <s v="ACCT-10003210"/>
    <x v="0"/>
    <s v="BR015"/>
    <x v="0"/>
    <d v="2021-07-19T00:00:00"/>
    <n v="1500"/>
    <x v="11"/>
    <x v="1"/>
    <x v="1"/>
  </r>
  <r>
    <n v="116"/>
    <s v="Paul Walker"/>
    <s v="No Email Provided"/>
    <d v="1998-07-05T00:00:00"/>
    <s v="ACCT-10005478"/>
    <x v="0"/>
    <s v="BR016"/>
    <x v="3"/>
    <d v="2020-09-25T00:00:00"/>
    <n v="-500"/>
    <x v="12"/>
    <x v="1"/>
    <x v="0"/>
  </r>
  <r>
    <n v="117"/>
    <s v="Quinn Red"/>
    <s v="No Email Provided"/>
    <d v="1979-04-22T00:00:00"/>
    <s v="ACCT-10008765"/>
    <x v="0"/>
    <s v="BR017"/>
    <x v="2"/>
    <d v="2019-02-14T00:00:00"/>
    <n v="23000"/>
    <x v="13"/>
    <x v="0"/>
    <x v="1"/>
  </r>
  <r>
    <n v="118"/>
    <s v="Rose Pink"/>
    <s v="No Email Provided"/>
    <d v="1986-08-08T00:00:00"/>
    <s v="ACCT-10002301"/>
    <x v="1"/>
    <s v="BR018"/>
    <x v="4"/>
    <d v="2022-03-09T00:00:00"/>
    <n v="8700"/>
    <x v="14"/>
    <x v="2"/>
    <x v="1"/>
  </r>
  <r>
    <n v="119"/>
    <s v="Sam Grey"/>
    <s v="No Email Provided"/>
    <d v="1990-09-18T00:00:00"/>
    <s v="ACCT-10007621"/>
    <x v="1"/>
    <s v="BR019"/>
    <x v="2"/>
    <d v="2020-04-04T00:00:00"/>
    <n v="500"/>
    <x v="0"/>
    <x v="1"/>
    <x v="0"/>
  </r>
  <r>
    <n v="120"/>
    <s v="Tim Orange"/>
    <s v="No Email Provided"/>
    <d v="1983-12-31T00:00:00"/>
    <s v="ACCT-10003489"/>
    <x v="0"/>
    <s v="BR020"/>
    <x v="1"/>
    <d v="2019-07-23T00:00:00"/>
    <n v="9200"/>
    <x v="15"/>
    <x v="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1"/>
    <s v="ACCT-10002345"/>
    <d v="2022-01-05T00:00:00"/>
    <x v="0"/>
    <n v="500"/>
    <s v="New York"/>
    <x v="0"/>
    <n v="2022"/>
    <x v="0"/>
  </r>
  <r>
    <n v="202"/>
    <s v="ACCT-10005678"/>
    <d v="2022-02-15T00:00:00"/>
    <x v="1"/>
    <n v="200"/>
    <s v="New York"/>
    <x v="1"/>
    <n v="2022"/>
    <x v="1"/>
  </r>
  <r>
    <n v="203"/>
    <s v="ACCT-10007891"/>
    <d v="2022-03-15T00:00:00"/>
    <x v="0"/>
    <n v="300"/>
    <s v="Los Angeles"/>
    <x v="2"/>
    <n v="2022"/>
    <x v="2"/>
  </r>
  <r>
    <n v="204"/>
    <s v="ACCT-10001234"/>
    <d v="2022-04-10T00:00:00"/>
    <x v="1"/>
    <n v="-400"/>
    <s v="Cincinnati"/>
    <x v="3"/>
    <n v="2022"/>
    <x v="3"/>
  </r>
  <r>
    <n v="205"/>
    <s v="ACCT-10003456"/>
    <d v="2022-04-30T00:00:00"/>
    <x v="0"/>
    <n v="450"/>
    <s v="San Francisco"/>
    <x v="3"/>
    <n v="2022"/>
    <x v="3"/>
  </r>
  <r>
    <n v="206"/>
    <s v="ACCT-10004567"/>
    <d v="2022-05-20T00:00:00"/>
    <x v="1"/>
    <n v="100"/>
    <s v="Texas"/>
    <x v="4"/>
    <n v="2022"/>
    <x v="4"/>
  </r>
  <r>
    <n v="207"/>
    <s v="ACCT-10008901"/>
    <d v="2022-06-25T00:00:00"/>
    <x v="0"/>
    <n v="750"/>
    <s v="Dallas"/>
    <x v="5"/>
    <n v="2022"/>
    <x v="5"/>
  </r>
  <r>
    <n v="208"/>
    <s v="ACCT-10006789"/>
    <d v="2022-07-05T00:00:00"/>
    <x v="1"/>
    <n v="200"/>
    <s v="Dallas"/>
    <x v="6"/>
    <n v="2022"/>
    <x v="6"/>
  </r>
  <r>
    <n v="209"/>
    <s v="ACCT-10009876"/>
    <d v="2022-08-15T00:00:00"/>
    <x v="0"/>
    <n v="600"/>
    <s v="New York"/>
    <x v="7"/>
    <n v="2022"/>
    <x v="7"/>
  </r>
  <r>
    <n v="210"/>
    <s v="ACCT-10005432"/>
    <d v="2022-09-01T00:00:00"/>
    <x v="1"/>
    <n v="0"/>
    <s v="New York"/>
    <x v="8"/>
    <n v="2022"/>
    <x v="8"/>
  </r>
  <r>
    <n v="211"/>
    <s v="ACCT-10007654"/>
    <d v="2022-10-12T00:00:00"/>
    <x v="0"/>
    <n v="400"/>
    <s v="San Francisco"/>
    <x v="9"/>
    <n v="2022"/>
    <x v="9"/>
  </r>
  <r>
    <n v="212"/>
    <s v="ACCT-10004321"/>
    <d v="2022-11-11T00:00:00"/>
    <x v="1"/>
    <n v="100"/>
    <s v="San Francisco"/>
    <x v="10"/>
    <n v="2022"/>
    <x v="10"/>
  </r>
  <r>
    <n v="213"/>
    <s v="ACCT-10002134"/>
    <d v="2022-12-25T00:00:00"/>
    <x v="0"/>
    <n v="250"/>
    <s v="Los Angeles"/>
    <x v="11"/>
    <n v="2022"/>
    <x v="11"/>
  </r>
  <r>
    <n v="214"/>
    <s v="ACCT-10006543"/>
    <d v="2022-01-15T00:00:00"/>
    <x v="0"/>
    <n v="1000"/>
    <s v="Cincinnati"/>
    <x v="0"/>
    <n v="2022"/>
    <x v="0"/>
  </r>
  <r>
    <n v="215"/>
    <s v="ACCT-10003210"/>
    <d v="2022-02-28T00:00:00"/>
    <x v="1"/>
    <n v="-200"/>
    <s v="Dallas"/>
    <x v="1"/>
    <n v="2022"/>
    <x v="1"/>
  </r>
  <r>
    <n v="216"/>
    <s v="ACCT-10005478"/>
    <d v="2022-03-14T00:00:00"/>
    <x v="0"/>
    <n v="500"/>
    <s v="Dallas"/>
    <x v="2"/>
    <n v="2022"/>
    <x v="2"/>
  </r>
  <r>
    <n v="217"/>
    <s v="ACCT-10008765"/>
    <d v="2022-04-22T00:00:00"/>
    <x v="0"/>
    <n v="800"/>
    <s v="New York"/>
    <x v="3"/>
    <n v="2022"/>
    <x v="3"/>
  </r>
  <r>
    <n v="218"/>
    <s v="ACCT-10002301"/>
    <d v="2022-05-30T00:00:00"/>
    <x v="1"/>
    <n v="700"/>
    <s v="New York"/>
    <x v="4"/>
    <n v="2022"/>
    <x v="4"/>
  </r>
  <r>
    <n v="219"/>
    <s v="ACCT-10007621"/>
    <d v="2022-06-15T00:00:00"/>
    <x v="0"/>
    <n v="350"/>
    <s v="San Francisco"/>
    <x v="5"/>
    <n v="2022"/>
    <x v="5"/>
  </r>
  <r>
    <n v="220"/>
    <s v="ACCT-10003489"/>
    <d v="2022-07-20T00:00:00"/>
    <x v="1"/>
    <n v="600"/>
    <s v="San Francisco"/>
    <x v="6"/>
    <n v="2022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BB35D-6E7B-454F-9ED9-3979E24324B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998D4-F70D-4166-AA17-187152BE84E6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E7" firstHeaderRow="1" firstDataRow="2" firstDataCol="1"/>
  <pivotFields count="13"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4" showAll="0"/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Sum of Balance" fld="9" baseField="0" baseItem="0"/>
  </dataFields>
  <chartFormats count="3"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534DD-2DCC-4B5D-808A-5EC7327D1A65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numFmtId="14"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ID" fld="0" subtotal="count" baseField="7" baseItem="0"/>
  </dataFields>
  <chartFormats count="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75808-E9B3-43E9-B6F1-68DF7EC34A7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3:B16" firstHeaderRow="1" firstDataRow="1" firstDataCol="1"/>
  <pivotFields count="9">
    <pivotField dataField="1" showAll="0"/>
    <pivotField showAll="0"/>
    <pivotField numFmtId="14"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TransactionID" fld="0" subtotal="count" baseField="6" baseItem="0"/>
  </dataFields>
  <chartFormats count="1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48BCA-08D8-4D9C-9A81-A2C17A8485A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6" firstHeaderRow="1" firstDataRow="1" firstDataCol="1"/>
  <pivotFields count="9">
    <pivotField dataField="1" showAll="0"/>
    <pivotField showAll="0"/>
    <pivotField numFmtId="1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TransactionID" fld="0" subtotal="count" baseField="3" baseItem="0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FE3A07-7B67-4057-985C-2C849D981913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B16" firstHeaderRow="1" firstDataRow="1" firstDataCol="1"/>
  <pivotFields count="9">
    <pivotField showAll="0"/>
    <pivotField showAll="0"/>
    <pivotField numFmtId="14" showAll="0"/>
    <pivotField showAll="0"/>
    <pivotField dataField="1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TransactionAmount" fld="4" subtotal="average" baseField="6" baseItem="0"/>
  </dataFields>
  <chartFormats count="1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95EC7D-64B8-4DCA-9646-F3BF6C3B913A}" autoFormatId="16" applyNumberFormats="0" applyBorderFormats="0" applyFontFormats="0" applyPatternFormats="0" applyAlignmentFormats="0" applyWidthHeightFormats="0">
  <queryTableRefresh nextId="14" unboundColumnsRight="3">
    <queryTableFields count="13">
      <queryTableField id="1" name="CustomerID" tableColumnId="1"/>
      <queryTableField id="2" name="CustomerName" tableColumnId="2"/>
      <queryTableField id="3" name="Email" tableColumnId="3"/>
      <queryTableField id="4" name="DateOfBirth" tableColumnId="4"/>
      <queryTableField id="5" name="AccountId" tableColumnId="5"/>
      <queryTableField id="6" name="AccountType" tableColumnId="6"/>
      <queryTableField id="7" name="BranchCode" tableColumnId="7"/>
      <queryTableField id="8" name="Country" tableColumnId="8"/>
      <queryTableField id="9" name="DateJoined" tableColumnId="9"/>
      <queryTableField id="10" name="Balance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0EA0F24-4AAC-4068-B254-0630C9B3C535}" autoFormatId="16" applyNumberFormats="0" applyBorderFormats="0" applyFontFormats="0" applyPatternFormats="0" applyAlignmentFormats="0" applyWidthHeightFormats="0">
  <queryTableRefresh nextId="10" unboundColumnsRight="3">
    <queryTableFields count="9">
      <queryTableField id="1" name="TransactionID" tableColumnId="1"/>
      <queryTableField id="2" name="AccountId" tableColumnId="2"/>
      <queryTableField id="3" name="TransactionDate" tableColumnId="3"/>
      <queryTableField id="4" name="TransactionType" tableColumnId="4"/>
      <queryTableField id="5" name="TransactionAmount" tableColumnId="5"/>
      <queryTableField id="6" name="TransactionLocation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81D56A-38D1-4F00-8375-97759A573216}" name="Customer_Data" displayName="Customer_Data" ref="A1:M21" tableType="queryTable" totalsRowShown="0">
  <tableColumns count="13">
    <tableColumn id="1" xr3:uid="{A032DD29-4E1A-4CF8-A0EB-92592AC6C747}" uniqueName="1" name="CustomerID" queryTableFieldId="1"/>
    <tableColumn id="2" xr3:uid="{CE250556-5423-416D-9F80-D6042A5B099C}" uniqueName="2" name="CustomerName" queryTableFieldId="2" dataDxfId="21"/>
    <tableColumn id="3" xr3:uid="{523BB070-2675-4508-AA79-614F8ADD6ECD}" uniqueName="3" name="Email" queryTableFieldId="3" dataDxfId="20"/>
    <tableColumn id="4" xr3:uid="{961710D5-0F1D-41FD-8307-033605D30CAC}" uniqueName="4" name="DateOfBirth" queryTableFieldId="4" dataDxfId="19"/>
    <tableColumn id="5" xr3:uid="{72D7A06F-D745-45C7-96D5-016AB0787E7F}" uniqueName="5" name="AccountId" queryTableFieldId="5" dataDxfId="18"/>
    <tableColumn id="6" xr3:uid="{48D8EA5B-811F-45B6-83DD-F7CA84B4CEE3}" uniqueName="6" name="AccountType" queryTableFieldId="6" dataDxfId="17"/>
    <tableColumn id="7" xr3:uid="{7A6AC5AB-39BC-4E2E-A7C3-E7F9BD3F36E7}" uniqueName="7" name="BranchCode" queryTableFieldId="7" dataDxfId="16"/>
    <tableColumn id="8" xr3:uid="{545D60F7-B190-4616-87A1-FF0D0E813556}" uniqueName="8" name="Country" queryTableFieldId="8" dataDxfId="15"/>
    <tableColumn id="9" xr3:uid="{2570B0B9-CA3C-488E-8942-04BF1C65BE2F}" uniqueName="9" name="DateJoined" queryTableFieldId="9" dataDxfId="14"/>
    <tableColumn id="10" xr3:uid="{39407084-111B-4168-889D-2F9354589740}" uniqueName="10" name="Balance" queryTableFieldId="10" dataDxfId="13"/>
    <tableColumn id="11" xr3:uid="{DD192263-5600-4BAC-8A32-BDBFAD535A11}" uniqueName="11" name="CustomerAge" queryTableFieldId="11" dataDxfId="0">
      <calculatedColumnFormula>IF(Customer_Data[[#This Row],[DateOfBirth]]="","",DATEDIF(Customer_Data[[#This Row],[DateOfBirth]],TODAY(),"Y"))</calculatedColumnFormula>
    </tableColumn>
    <tableColumn id="12" xr3:uid="{2A1B6C87-F771-42D9-8A1A-D8566323C92A}" uniqueName="12" name="BalanceCategory" queryTableFieldId="12" dataDxfId="12">
      <calculatedColumnFormula>IF(Customer_Data[[#This Row],[Balance]]&gt;=10000, "High Balance", IF(Customer_Data[[#This Row],[Balance]]&gt;=5000, "Medium Balance",  "Low Balance"))</calculatedColumnFormula>
    </tableColumn>
    <tableColumn id="13" xr3:uid="{68D80482-AD7B-4AE5-BADA-D27BFC81AE9D}" uniqueName="13" name="AgeGroup" queryTableFieldId="13" dataDxfId="11">
      <calculatedColumnFormula>IF(Customer_Data[[#This Row],[CustomerAge]]="","Missing DOB",
IF(Customer_Data[[#This Row],[CustomerAge]]&lt;26,"18-25",
IF(Customer_Data[[#This Row],[CustomerAge]]&lt;36,"26-35",
IF(Customer_Data[[#This Row],[CustomerAge]]&lt;51,"36-50","51+"))))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400479-828F-4B98-9613-61F2EA126886}" name="Transaction_Data" displayName="Transaction_Data" ref="A1:I21" tableType="queryTable" totalsRowShown="0">
  <tableColumns count="9">
    <tableColumn id="1" xr3:uid="{B12B9CAD-E50E-4BD5-8E53-91910AF96E85}" uniqueName="1" name="TransactionID" queryTableFieldId="1"/>
    <tableColumn id="2" xr3:uid="{E824891F-605F-45A9-B038-563D487F22BD}" uniqueName="2" name="AccountId" queryTableFieldId="2" dataDxfId="10"/>
    <tableColumn id="3" xr3:uid="{68E9AB6F-6FF5-4738-BF51-4B6EB5C7B42C}" uniqueName="3" name="TransactionDate" queryTableFieldId="3" dataDxfId="9"/>
    <tableColumn id="4" xr3:uid="{B8D334E8-AB7C-43A5-90C4-B8A91373B4ED}" uniqueName="4" name="TransactionType" queryTableFieldId="4" dataDxfId="8"/>
    <tableColumn id="5" xr3:uid="{BC4E6772-FE77-4BA7-8760-8E8069E98F88}" uniqueName="5" name="TransactionAmount" queryTableFieldId="5" dataDxfId="7"/>
    <tableColumn id="6" xr3:uid="{EEF48580-F42F-4C44-9883-5AA07F41F96A}" uniqueName="6" name="TransactionLocation" queryTableFieldId="6" dataDxfId="6"/>
    <tableColumn id="7" xr3:uid="{8B28DBA3-8F5E-4786-A3D4-A930EE7878AE}" uniqueName="7" name="TransactionMonth" queryTableFieldId="7" dataDxfId="5">
      <calculatedColumnFormula>TEXT(Transaction_Data[[#This Row],[TransactionDate]], "MMM")</calculatedColumnFormula>
    </tableColumn>
    <tableColumn id="8" xr3:uid="{FC52C434-D75E-42C5-86F3-EB5375229E75}" uniqueName="8" name="TransactionYear" queryTableFieldId="8" dataDxfId="4">
      <calculatedColumnFormula>YEAR(Transaction_Data[[#This Row],[TransactionDate]])</calculatedColumnFormula>
    </tableColumn>
    <tableColumn id="9" xr3:uid="{6C1EA227-070C-4BB5-A5D5-9D9B7E7D42D9}" uniqueName="9" name="TransactionMonthYear" queryTableFieldId="9" dataDxfId="3">
      <calculatedColumnFormula>TEXT(Transaction_Data[[#This Row],[TransactionDate]],"MMM-YYYY")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BFA44-0917-4081-BCFF-D56446238BB7}">
  <dimension ref="A1:M21"/>
  <sheetViews>
    <sheetView tabSelected="1" workbookViewId="0">
      <selection activeCell="K25" sqref="K25"/>
    </sheetView>
  </sheetViews>
  <sheetFormatPr defaultRowHeight="15" x14ac:dyDescent="0.25"/>
  <cols>
    <col min="1" max="1" width="14.28515625" bestFit="1" customWidth="1"/>
    <col min="2" max="2" width="17.7109375" bestFit="1" customWidth="1"/>
    <col min="3" max="3" width="25" bestFit="1" customWidth="1"/>
    <col min="4" max="4" width="14" style="1" bestFit="1" customWidth="1"/>
    <col min="5" max="5" width="14.28515625" bestFit="1" customWidth="1"/>
    <col min="6" max="6" width="14.85546875" bestFit="1" customWidth="1"/>
    <col min="7" max="7" width="14.28515625" bestFit="1" customWidth="1"/>
    <col min="8" max="8" width="15.140625" bestFit="1" customWidth="1"/>
    <col min="9" max="9" width="13.42578125" bestFit="1" customWidth="1"/>
    <col min="10" max="10" width="12.42578125" bestFit="1" customWidth="1"/>
    <col min="11" max="11" width="13.42578125" bestFit="1" customWidth="1"/>
    <col min="12" max="12" width="16.28515625" bestFit="1" customWidth="1"/>
    <col min="13" max="13" width="12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95</v>
      </c>
      <c r="L1" t="s">
        <v>97</v>
      </c>
      <c r="M1" t="s">
        <v>98</v>
      </c>
    </row>
    <row r="2" spans="1:13" x14ac:dyDescent="0.25">
      <c r="A2">
        <v>101</v>
      </c>
      <c r="B2" t="s">
        <v>10</v>
      </c>
      <c r="C2" t="s">
        <v>11</v>
      </c>
      <c r="D2" s="1">
        <v>33014</v>
      </c>
      <c r="E2" t="s">
        <v>12</v>
      </c>
      <c r="F2" t="s">
        <v>13</v>
      </c>
      <c r="G2" t="s">
        <v>14</v>
      </c>
      <c r="H2" t="s">
        <v>20</v>
      </c>
      <c r="I2" s="1">
        <v>43845</v>
      </c>
      <c r="J2">
        <v>12000</v>
      </c>
      <c r="K2">
        <f ca="1">IF(Customer_Data[[#This Row],[DateOfBirth]]="","",DATEDIF(Customer_Data[[#This Row],[DateOfBirth]],TODAY(),"Y"))</f>
        <v>35</v>
      </c>
      <c r="L2" t="str">
        <f>IF(Customer_Data[[#This Row],[Balance]]&gt;=10000, "High Balance", IF(Customer_Data[[#This Row],[Balance]]&gt;=5000, "Medium Balance",  "Low Balance"))</f>
        <v>High Balance</v>
      </c>
      <c r="M2" t="str">
        <f ca="1">IF(Customer_Data[[#This Row],[CustomerAge]]="","Missing DOB",
IF(Customer_Data[[#This Row],[CustomerAge]]&lt;26,"18-25",
IF(Customer_Data[[#This Row],[CustomerAge]]&lt;36,"26-35",
IF(Customer_Data[[#This Row],[CustomerAge]]&lt;51,"36-50","51+"))))</f>
        <v>26-35</v>
      </c>
    </row>
    <row r="3" spans="1:13" x14ac:dyDescent="0.25">
      <c r="A3">
        <v>102</v>
      </c>
      <c r="B3" t="s">
        <v>15</v>
      </c>
      <c r="C3" t="s">
        <v>16</v>
      </c>
      <c r="D3" s="1">
        <v>31274</v>
      </c>
      <c r="E3" t="s">
        <v>17</v>
      </c>
      <c r="F3" t="s">
        <v>18</v>
      </c>
      <c r="G3" t="s">
        <v>19</v>
      </c>
      <c r="H3" t="s">
        <v>20</v>
      </c>
      <c r="I3" s="1">
        <v>43799</v>
      </c>
      <c r="J3">
        <v>3000</v>
      </c>
      <c r="K3">
        <f ca="1">IF(Customer_Data[[#This Row],[DateOfBirth]]="","",DATEDIF(Customer_Data[[#This Row],[DateOfBirth]],TODAY(),"Y"))</f>
        <v>40</v>
      </c>
      <c r="L3" t="str">
        <f>IF(Customer_Data[[#This Row],[Balance]]&gt;=10000, "High Balance", IF(Customer_Data[[#This Row],[Balance]]&gt;=5000, "Medium Balance",  "Low Balance"))</f>
        <v>Low Balance</v>
      </c>
      <c r="M3" t="str">
        <f ca="1">IF(Customer_Data[[#This Row],[CustomerAge]]="","Missing DOB",
IF(Customer_Data[[#This Row],[CustomerAge]]&lt;26,"18-25",
IF(Customer_Data[[#This Row],[CustomerAge]]&lt;36,"26-35",
IF(Customer_Data[[#This Row],[CustomerAge]]&lt;51,"36-50","51+"))))</f>
        <v>36-50</v>
      </c>
    </row>
    <row r="4" spans="1:13" x14ac:dyDescent="0.25">
      <c r="A4">
        <v>103</v>
      </c>
      <c r="B4" t="s">
        <v>21</v>
      </c>
      <c r="C4" t="s">
        <v>22</v>
      </c>
      <c r="D4" s="1">
        <v>33911</v>
      </c>
      <c r="E4" t="s">
        <v>23</v>
      </c>
      <c r="F4" t="s">
        <v>13</v>
      </c>
      <c r="G4" t="s">
        <v>24</v>
      </c>
      <c r="H4" t="s">
        <v>20</v>
      </c>
      <c r="I4" s="1">
        <v>44348</v>
      </c>
      <c r="J4">
        <v>8500</v>
      </c>
      <c r="K4">
        <f ca="1">IF(Customer_Data[[#This Row],[DateOfBirth]]="","",DATEDIF(Customer_Data[[#This Row],[DateOfBirth]],TODAY(),"Y"))</f>
        <v>33</v>
      </c>
      <c r="L4" t="str">
        <f>IF(Customer_Data[[#This Row],[Balance]]&gt;=10000, "High Balance", IF(Customer_Data[[#This Row],[Balance]]&gt;=5000, "Medium Balance",  "Low Balance"))</f>
        <v>Medium Balance</v>
      </c>
      <c r="M4" t="str">
        <f ca="1">IF(Customer_Data[[#This Row],[CustomerAge]]="","Missing DOB",
IF(Customer_Data[[#This Row],[CustomerAge]]&lt;26,"18-25",
IF(Customer_Data[[#This Row],[CustomerAge]]&lt;36,"26-35",
IF(Customer_Data[[#This Row],[CustomerAge]]&lt;51,"36-50","51+"))))</f>
        <v>26-35</v>
      </c>
    </row>
    <row r="5" spans="1:13" x14ac:dyDescent="0.25">
      <c r="A5">
        <v>104</v>
      </c>
      <c r="B5" t="s">
        <v>25</v>
      </c>
      <c r="C5" t="s">
        <v>26</v>
      </c>
      <c r="D5" s="1">
        <v>28549</v>
      </c>
      <c r="E5" t="s">
        <v>27</v>
      </c>
      <c r="F5" t="s">
        <v>13</v>
      </c>
      <c r="G5" t="s">
        <v>28</v>
      </c>
      <c r="H5" t="s">
        <v>20</v>
      </c>
      <c r="I5" s="1">
        <v>44275</v>
      </c>
      <c r="J5">
        <v>5000</v>
      </c>
      <c r="K5">
        <f ca="1">IF(Customer_Data[[#This Row],[DateOfBirth]]="","",DATEDIF(Customer_Data[[#This Row],[DateOfBirth]],TODAY(),"Y"))</f>
        <v>48</v>
      </c>
      <c r="L5" t="str">
        <f>IF(Customer_Data[[#This Row],[Balance]]&gt;=10000, "High Balance", IF(Customer_Data[[#This Row],[Balance]]&gt;=5000, "Medium Balance",  "Low Balance"))</f>
        <v>Medium Balance</v>
      </c>
      <c r="M5" t="str">
        <f ca="1">IF(Customer_Data[[#This Row],[CustomerAge]]="","Missing DOB",
IF(Customer_Data[[#This Row],[CustomerAge]]&lt;26,"18-25",
IF(Customer_Data[[#This Row],[CustomerAge]]&lt;36,"26-35",
IF(Customer_Data[[#This Row],[CustomerAge]]&lt;51,"36-50","51+"))))</f>
        <v>36-50</v>
      </c>
    </row>
    <row r="6" spans="1:13" x14ac:dyDescent="0.25">
      <c r="A6">
        <v>105</v>
      </c>
      <c r="B6" t="s">
        <v>29</v>
      </c>
      <c r="C6" t="s">
        <v>92</v>
      </c>
      <c r="D6" s="1">
        <v>32605</v>
      </c>
      <c r="E6" t="s">
        <v>30</v>
      </c>
      <c r="F6" t="s">
        <v>18</v>
      </c>
      <c r="G6" t="s">
        <v>31</v>
      </c>
      <c r="H6" t="s">
        <v>20</v>
      </c>
      <c r="I6" s="1">
        <v>44031</v>
      </c>
      <c r="J6">
        <v>-1000</v>
      </c>
      <c r="K6">
        <f ca="1">IF(Customer_Data[[#This Row],[DateOfBirth]]="","",DATEDIF(Customer_Data[[#This Row],[DateOfBirth]],TODAY(),"Y"))</f>
        <v>36</v>
      </c>
      <c r="L6" t="str">
        <f>IF(Customer_Data[[#This Row],[Balance]]&gt;=10000, "High Balance", IF(Customer_Data[[#This Row],[Balance]]&gt;=5000, "Medium Balance",  "Low Balance"))</f>
        <v>Low Balance</v>
      </c>
      <c r="M6" t="str">
        <f ca="1">IF(Customer_Data[[#This Row],[CustomerAge]]="","Missing DOB",
IF(Customer_Data[[#This Row],[CustomerAge]]&lt;26,"18-25",
IF(Customer_Data[[#This Row],[CustomerAge]]&lt;36,"26-35",
IF(Customer_Data[[#This Row],[CustomerAge]]&lt;51,"36-50","51+"))))</f>
        <v>36-50</v>
      </c>
    </row>
    <row r="7" spans="1:13" x14ac:dyDescent="0.25">
      <c r="A7">
        <v>106</v>
      </c>
      <c r="B7" t="s">
        <v>32</v>
      </c>
      <c r="C7" t="s">
        <v>92</v>
      </c>
      <c r="D7" s="1">
        <v>27741</v>
      </c>
      <c r="E7" t="s">
        <v>33</v>
      </c>
      <c r="F7" t="s">
        <v>13</v>
      </c>
      <c r="G7" t="s">
        <v>34</v>
      </c>
      <c r="H7" t="s">
        <v>20</v>
      </c>
      <c r="I7" s="1">
        <v>43354</v>
      </c>
      <c r="J7">
        <v>7500</v>
      </c>
      <c r="K7">
        <f ca="1">IF(Customer_Data[[#This Row],[DateOfBirth]]="","",DATEDIF(Customer_Data[[#This Row],[DateOfBirth]],TODAY(),"Y"))</f>
        <v>50</v>
      </c>
      <c r="L7" t="str">
        <f>IF(Customer_Data[[#This Row],[Balance]]&gt;=10000, "High Balance", IF(Customer_Data[[#This Row],[Balance]]&gt;=5000, "Medium Balance",  "Low Balance"))</f>
        <v>Medium Balance</v>
      </c>
      <c r="M7" t="str">
        <f ca="1">IF(Customer_Data[[#This Row],[CustomerAge]]="","Missing DOB",
IF(Customer_Data[[#This Row],[CustomerAge]]&lt;26,"18-25",
IF(Customer_Data[[#This Row],[CustomerAge]]&lt;36,"26-35",
IF(Customer_Data[[#This Row],[CustomerAge]]&lt;51,"36-50","51+"))))</f>
        <v>36-50</v>
      </c>
    </row>
    <row r="8" spans="1:13" x14ac:dyDescent="0.25">
      <c r="A8">
        <v>107</v>
      </c>
      <c r="B8" t="s">
        <v>35</v>
      </c>
      <c r="C8" t="s">
        <v>92</v>
      </c>
      <c r="D8" s="1">
        <v>34048</v>
      </c>
      <c r="E8" t="s">
        <v>36</v>
      </c>
      <c r="F8" t="s">
        <v>13</v>
      </c>
      <c r="G8" t="s">
        <v>37</v>
      </c>
      <c r="H8" t="s">
        <v>38</v>
      </c>
      <c r="I8" s="1">
        <v>44570</v>
      </c>
      <c r="J8">
        <v>20000</v>
      </c>
      <c r="K8">
        <f ca="1">IF(Customer_Data[[#This Row],[DateOfBirth]]="","",DATEDIF(Customer_Data[[#This Row],[DateOfBirth]],TODAY(),"Y"))</f>
        <v>32</v>
      </c>
      <c r="L8" t="str">
        <f>IF(Customer_Data[[#This Row],[Balance]]&gt;=10000, "High Balance", IF(Customer_Data[[#This Row],[Balance]]&gt;=5000, "Medium Balance",  "Low Balance"))</f>
        <v>High Balance</v>
      </c>
      <c r="M8" t="str">
        <f ca="1">IF(Customer_Data[[#This Row],[CustomerAge]]="","Missing DOB",
IF(Customer_Data[[#This Row],[CustomerAge]]&lt;26,"18-25",
IF(Customer_Data[[#This Row],[CustomerAge]]&lt;36,"26-35",
IF(Customer_Data[[#This Row],[CustomerAge]]&lt;51,"36-50","51+"))))</f>
        <v>26-35</v>
      </c>
    </row>
    <row r="9" spans="1:13" x14ac:dyDescent="0.25">
      <c r="A9">
        <v>108</v>
      </c>
      <c r="B9" t="s">
        <v>39</v>
      </c>
      <c r="C9" t="s">
        <v>92</v>
      </c>
      <c r="D9" s="1">
        <v>32035</v>
      </c>
      <c r="E9" t="s">
        <v>40</v>
      </c>
      <c r="F9" t="s">
        <v>18</v>
      </c>
      <c r="G9" t="s">
        <v>41</v>
      </c>
      <c r="H9" t="s">
        <v>20</v>
      </c>
      <c r="I9" s="1">
        <v>44064</v>
      </c>
      <c r="J9">
        <v>3500</v>
      </c>
      <c r="K9">
        <f ca="1">IF(Customer_Data[[#This Row],[DateOfBirth]]="","",DATEDIF(Customer_Data[[#This Row],[DateOfBirth]],TODAY(),"Y"))</f>
        <v>38</v>
      </c>
      <c r="L9" t="str">
        <f>IF(Customer_Data[[#This Row],[Balance]]&gt;=10000, "High Balance", IF(Customer_Data[[#This Row],[Balance]]&gt;=5000, "Medium Balance",  "Low Balance"))</f>
        <v>Low Balance</v>
      </c>
      <c r="M9" t="str">
        <f ca="1">IF(Customer_Data[[#This Row],[CustomerAge]]="","Missing DOB",
IF(Customer_Data[[#This Row],[CustomerAge]]&lt;26,"18-25",
IF(Customer_Data[[#This Row],[CustomerAge]]&lt;36,"26-35",
IF(Customer_Data[[#This Row],[CustomerAge]]&lt;51,"36-50","51+"))))</f>
        <v>36-50</v>
      </c>
    </row>
    <row r="10" spans="1:13" x14ac:dyDescent="0.25">
      <c r="A10" s="2">
        <v>109</v>
      </c>
      <c r="B10" s="2" t="s">
        <v>42</v>
      </c>
      <c r="C10" s="2" t="s">
        <v>92</v>
      </c>
      <c r="D10" s="3"/>
      <c r="E10" s="2" t="s">
        <v>43</v>
      </c>
      <c r="F10" s="2" t="s">
        <v>13</v>
      </c>
      <c r="G10" s="2" t="s">
        <v>44</v>
      </c>
      <c r="H10" s="2" t="s">
        <v>38</v>
      </c>
      <c r="I10" s="3">
        <v>44514</v>
      </c>
      <c r="J10" s="2">
        <v>8000</v>
      </c>
      <c r="K10" t="str">
        <f ca="1">IF(Customer_Data[[#This Row],[DateOfBirth]]="","",DATEDIF(Customer_Data[[#This Row],[DateOfBirth]],TODAY(),"Y"))</f>
        <v/>
      </c>
      <c r="L10" t="str">
        <f>IF(Customer_Data[[#This Row],[Balance]]&gt;=10000, "High Balance", IF(Customer_Data[[#This Row],[Balance]]&gt;=5000, "Medium Balance",  "Low Balance"))</f>
        <v>Medium Balance</v>
      </c>
      <c r="M10" t="str">
        <f ca="1">IF(Customer_Data[[#This Row],[CustomerAge]]="","Missing DOB",
IF(Customer_Data[[#This Row],[CustomerAge]]&lt;26,"18-25",
IF(Customer_Data[[#This Row],[CustomerAge]]&lt;36,"26-35",
IF(Customer_Data[[#This Row],[CustomerAge]]&lt;51,"36-50","51+"))))</f>
        <v>Missing DOB</v>
      </c>
    </row>
    <row r="11" spans="1:13" x14ac:dyDescent="0.25">
      <c r="A11">
        <v>110</v>
      </c>
      <c r="B11" t="s">
        <v>45</v>
      </c>
      <c r="C11" t="s">
        <v>92</v>
      </c>
      <c r="D11" s="1">
        <v>32874</v>
      </c>
      <c r="E11" t="s">
        <v>46</v>
      </c>
      <c r="F11" t="s">
        <v>13</v>
      </c>
      <c r="G11" t="s">
        <v>47</v>
      </c>
      <c r="H11" t="s">
        <v>20</v>
      </c>
      <c r="I11" s="1">
        <v>44649</v>
      </c>
      <c r="J11">
        <v>0</v>
      </c>
      <c r="K11">
        <f ca="1">IF(Customer_Data[[#This Row],[DateOfBirth]]="","",DATEDIF(Customer_Data[[#This Row],[DateOfBirth]],TODAY(),"Y"))</f>
        <v>36</v>
      </c>
      <c r="L11" t="str">
        <f>IF(Customer_Data[[#This Row],[Balance]]&gt;=10000, "High Balance", IF(Customer_Data[[#This Row],[Balance]]&gt;=5000, "Medium Balance",  "Low Balance"))</f>
        <v>Low Balance</v>
      </c>
      <c r="M11" t="str">
        <f ca="1">IF(Customer_Data[[#This Row],[CustomerAge]]="","Missing DOB",
IF(Customer_Data[[#This Row],[CustomerAge]]&lt;26,"18-25",
IF(Customer_Data[[#This Row],[CustomerAge]]&lt;36,"26-35",
IF(Customer_Data[[#This Row],[CustomerAge]]&lt;51,"36-50","51+"))))</f>
        <v>36-50</v>
      </c>
    </row>
    <row r="12" spans="1:13" x14ac:dyDescent="0.25">
      <c r="A12">
        <v>111</v>
      </c>
      <c r="B12" t="s">
        <v>48</v>
      </c>
      <c r="C12" t="s">
        <v>92</v>
      </c>
      <c r="D12" s="1">
        <v>30997</v>
      </c>
      <c r="E12" t="s">
        <v>49</v>
      </c>
      <c r="F12" t="s">
        <v>13</v>
      </c>
      <c r="G12" t="s">
        <v>50</v>
      </c>
      <c r="H12" t="s">
        <v>20</v>
      </c>
      <c r="I12" s="1">
        <v>44535</v>
      </c>
      <c r="J12">
        <v>6000</v>
      </c>
      <c r="K12">
        <f ca="1">IF(Customer_Data[[#This Row],[DateOfBirth]]="","",DATEDIF(Customer_Data[[#This Row],[DateOfBirth]],TODAY(),"Y"))</f>
        <v>41</v>
      </c>
      <c r="L12" t="str">
        <f>IF(Customer_Data[[#This Row],[Balance]]&gt;=10000, "High Balance", IF(Customer_Data[[#This Row],[Balance]]&gt;=5000, "Medium Balance",  "Low Balance"))</f>
        <v>Medium Balance</v>
      </c>
      <c r="M12" t="str">
        <f ca="1">IF(Customer_Data[[#This Row],[CustomerAge]]="","Missing DOB",
IF(Customer_Data[[#This Row],[CustomerAge]]&lt;26,"18-25",
IF(Customer_Data[[#This Row],[CustomerAge]]&lt;36,"26-35",
IF(Customer_Data[[#This Row],[CustomerAge]]&lt;51,"36-50","51+"))))</f>
        <v>36-50</v>
      </c>
    </row>
    <row r="13" spans="1:13" x14ac:dyDescent="0.25">
      <c r="A13">
        <v>112</v>
      </c>
      <c r="B13" t="s">
        <v>51</v>
      </c>
      <c r="C13" t="s">
        <v>92</v>
      </c>
      <c r="D13" s="1">
        <v>33291</v>
      </c>
      <c r="E13" t="s">
        <v>52</v>
      </c>
      <c r="F13" t="s">
        <v>18</v>
      </c>
      <c r="G13" t="s">
        <v>53</v>
      </c>
      <c r="H13" t="s">
        <v>54</v>
      </c>
      <c r="I13" s="1">
        <v>43610</v>
      </c>
      <c r="J13">
        <v>5500</v>
      </c>
      <c r="K13">
        <f ca="1">IF(Customer_Data[[#This Row],[DateOfBirth]]="","",DATEDIF(Customer_Data[[#This Row],[DateOfBirth]],TODAY(),"Y"))</f>
        <v>35</v>
      </c>
      <c r="L13" t="str">
        <f>IF(Customer_Data[[#This Row],[Balance]]&gt;=10000, "High Balance", IF(Customer_Data[[#This Row],[Balance]]&gt;=5000, "Medium Balance",  "Low Balance"))</f>
        <v>Medium Balance</v>
      </c>
      <c r="M13" t="str">
        <f ca="1">IF(Customer_Data[[#This Row],[CustomerAge]]="","Missing DOB",
IF(Customer_Data[[#This Row],[CustomerAge]]&lt;26,"18-25",
IF(Customer_Data[[#This Row],[CustomerAge]]&lt;36,"26-35",
IF(Customer_Data[[#This Row],[CustomerAge]]&lt;51,"36-50","51+"))))</f>
        <v>26-35</v>
      </c>
    </row>
    <row r="14" spans="1:13" x14ac:dyDescent="0.25">
      <c r="A14" s="2">
        <v>113</v>
      </c>
      <c r="B14" s="2" t="s">
        <v>55</v>
      </c>
      <c r="C14" s="2" t="s">
        <v>92</v>
      </c>
      <c r="D14" s="3"/>
      <c r="E14" s="2" t="s">
        <v>56</v>
      </c>
      <c r="F14" s="2" t="s">
        <v>13</v>
      </c>
      <c r="G14" s="2" t="s">
        <v>57</v>
      </c>
      <c r="H14" s="2" t="s">
        <v>20</v>
      </c>
      <c r="I14" s="3">
        <v>44579</v>
      </c>
      <c r="J14" s="2">
        <v>4000</v>
      </c>
      <c r="K14" t="str">
        <f ca="1">IF(Customer_Data[[#This Row],[DateOfBirth]]="","",DATEDIF(Customer_Data[[#This Row],[DateOfBirth]],TODAY(),"Y"))</f>
        <v/>
      </c>
      <c r="L14" t="str">
        <f>IF(Customer_Data[[#This Row],[Balance]]&gt;=10000, "High Balance", IF(Customer_Data[[#This Row],[Balance]]&gt;=5000, "Medium Balance",  "Low Balance"))</f>
        <v>Low Balance</v>
      </c>
      <c r="M14" t="str">
        <f ca="1">IF(Customer_Data[[#This Row],[CustomerAge]]="","Missing DOB",
IF(Customer_Data[[#This Row],[CustomerAge]]&lt;26,"18-25",
IF(Customer_Data[[#This Row],[CustomerAge]]&lt;36,"26-35",
IF(Customer_Data[[#This Row],[CustomerAge]]&lt;51,"36-50","51+"))))</f>
        <v>Missing DOB</v>
      </c>
    </row>
    <row r="15" spans="1:13" x14ac:dyDescent="0.25">
      <c r="A15">
        <v>114</v>
      </c>
      <c r="B15" t="s">
        <v>58</v>
      </c>
      <c r="C15" t="s">
        <v>92</v>
      </c>
      <c r="D15" s="1">
        <v>34982</v>
      </c>
      <c r="E15" t="s">
        <v>59</v>
      </c>
      <c r="F15" t="s">
        <v>18</v>
      </c>
      <c r="G15" t="s">
        <v>60</v>
      </c>
      <c r="H15" t="s">
        <v>38</v>
      </c>
      <c r="I15" s="1">
        <v>43281</v>
      </c>
      <c r="J15">
        <v>10000</v>
      </c>
      <c r="K15">
        <f ca="1">IF(Customer_Data[[#This Row],[DateOfBirth]]="","",DATEDIF(Customer_Data[[#This Row],[DateOfBirth]],TODAY(),"Y"))</f>
        <v>30</v>
      </c>
      <c r="L15" t="str">
        <f>IF(Customer_Data[[#This Row],[Balance]]&gt;=10000, "High Balance", IF(Customer_Data[[#This Row],[Balance]]&gt;=5000, "Medium Balance",  "Low Balance"))</f>
        <v>High Balance</v>
      </c>
      <c r="M15" t="str">
        <f ca="1">IF(Customer_Data[[#This Row],[CustomerAge]]="","Missing DOB",
IF(Customer_Data[[#This Row],[CustomerAge]]&lt;26,"18-25",
IF(Customer_Data[[#This Row],[CustomerAge]]&lt;36,"26-35",
IF(Customer_Data[[#This Row],[CustomerAge]]&lt;51,"36-50","51+"))))</f>
        <v>26-35</v>
      </c>
    </row>
    <row r="16" spans="1:13" x14ac:dyDescent="0.25">
      <c r="A16">
        <v>115</v>
      </c>
      <c r="B16" t="s">
        <v>61</v>
      </c>
      <c r="C16" t="s">
        <v>92</v>
      </c>
      <c r="D16" s="1">
        <v>30118</v>
      </c>
      <c r="E16" t="s">
        <v>62</v>
      </c>
      <c r="F16" t="s">
        <v>13</v>
      </c>
      <c r="G16" t="s">
        <v>63</v>
      </c>
      <c r="H16" t="s">
        <v>20</v>
      </c>
      <c r="I16" s="1">
        <v>44396</v>
      </c>
      <c r="J16">
        <v>1500</v>
      </c>
      <c r="K16">
        <f ca="1">IF(Customer_Data[[#This Row],[DateOfBirth]]="","",DATEDIF(Customer_Data[[#This Row],[DateOfBirth]],TODAY(),"Y"))</f>
        <v>43</v>
      </c>
      <c r="L16" t="str">
        <f>IF(Customer_Data[[#This Row],[Balance]]&gt;=10000, "High Balance", IF(Customer_Data[[#This Row],[Balance]]&gt;=5000, "Medium Balance",  "Low Balance"))</f>
        <v>Low Balance</v>
      </c>
      <c r="M16" t="str">
        <f ca="1">IF(Customer_Data[[#This Row],[CustomerAge]]="","Missing DOB",
IF(Customer_Data[[#This Row],[CustomerAge]]&lt;26,"18-25",
IF(Customer_Data[[#This Row],[CustomerAge]]&lt;36,"26-35",
IF(Customer_Data[[#This Row],[CustomerAge]]&lt;51,"36-50","51+"))))</f>
        <v>36-50</v>
      </c>
    </row>
    <row r="17" spans="1:13" x14ac:dyDescent="0.25">
      <c r="A17">
        <v>116</v>
      </c>
      <c r="B17" t="s">
        <v>64</v>
      </c>
      <c r="C17" t="s">
        <v>92</v>
      </c>
      <c r="D17" s="1">
        <v>35981</v>
      </c>
      <c r="E17" t="s">
        <v>65</v>
      </c>
      <c r="F17" t="s">
        <v>13</v>
      </c>
      <c r="G17" t="s">
        <v>66</v>
      </c>
      <c r="H17" t="s">
        <v>67</v>
      </c>
      <c r="I17" s="1">
        <v>44099</v>
      </c>
      <c r="J17">
        <v>-500</v>
      </c>
      <c r="K17">
        <f ca="1">IF(Customer_Data[[#This Row],[DateOfBirth]]="","",DATEDIF(Customer_Data[[#This Row],[DateOfBirth]],TODAY(),"Y"))</f>
        <v>27</v>
      </c>
      <c r="L17" t="str">
        <f>IF(Customer_Data[[#This Row],[Balance]]&gt;=10000, "High Balance", IF(Customer_Data[[#This Row],[Balance]]&gt;=5000, "Medium Balance",  "Low Balance"))</f>
        <v>Low Balance</v>
      </c>
      <c r="M17" t="str">
        <f ca="1">IF(Customer_Data[[#This Row],[CustomerAge]]="","Missing DOB",
IF(Customer_Data[[#This Row],[CustomerAge]]&lt;26,"18-25",
IF(Customer_Data[[#This Row],[CustomerAge]]&lt;36,"26-35",
IF(Customer_Data[[#This Row],[CustomerAge]]&lt;51,"36-50","51+"))))</f>
        <v>26-35</v>
      </c>
    </row>
    <row r="18" spans="1:13" x14ac:dyDescent="0.25">
      <c r="A18">
        <v>117</v>
      </c>
      <c r="B18" t="s">
        <v>68</v>
      </c>
      <c r="C18" t="s">
        <v>92</v>
      </c>
      <c r="D18" s="1">
        <v>28967</v>
      </c>
      <c r="E18" t="s">
        <v>69</v>
      </c>
      <c r="F18" t="s">
        <v>13</v>
      </c>
      <c r="G18" t="s">
        <v>70</v>
      </c>
      <c r="H18" t="s">
        <v>54</v>
      </c>
      <c r="I18" s="1">
        <v>43510</v>
      </c>
      <c r="J18">
        <v>23000</v>
      </c>
      <c r="K18">
        <f ca="1">IF(Customer_Data[[#This Row],[DateOfBirth]]="","",DATEDIF(Customer_Data[[#This Row],[DateOfBirth]],TODAY(),"Y"))</f>
        <v>46</v>
      </c>
      <c r="L18" t="str">
        <f>IF(Customer_Data[[#This Row],[Balance]]&gt;=10000, "High Balance", IF(Customer_Data[[#This Row],[Balance]]&gt;=5000, "Medium Balance",  "Low Balance"))</f>
        <v>High Balance</v>
      </c>
      <c r="M18" t="str">
        <f ca="1">IF(Customer_Data[[#This Row],[CustomerAge]]="","Missing DOB",
IF(Customer_Data[[#This Row],[CustomerAge]]&lt;26,"18-25",
IF(Customer_Data[[#This Row],[CustomerAge]]&lt;36,"26-35",
IF(Customer_Data[[#This Row],[CustomerAge]]&lt;51,"36-50","51+"))))</f>
        <v>36-50</v>
      </c>
    </row>
    <row r="19" spans="1:13" x14ac:dyDescent="0.25">
      <c r="A19">
        <v>118</v>
      </c>
      <c r="B19" t="s">
        <v>71</v>
      </c>
      <c r="C19" t="s">
        <v>92</v>
      </c>
      <c r="D19" s="1">
        <v>31632</v>
      </c>
      <c r="E19" t="s">
        <v>72</v>
      </c>
      <c r="F19" t="s">
        <v>18</v>
      </c>
      <c r="G19" t="s">
        <v>73</v>
      </c>
      <c r="H19" t="s">
        <v>74</v>
      </c>
      <c r="I19" s="1">
        <v>44629</v>
      </c>
      <c r="J19">
        <v>8700</v>
      </c>
      <c r="K19">
        <f ca="1">IF(Customer_Data[[#This Row],[DateOfBirth]]="","",DATEDIF(Customer_Data[[#This Row],[DateOfBirth]],TODAY(),"Y"))</f>
        <v>39</v>
      </c>
      <c r="L19" t="str">
        <f>IF(Customer_Data[[#This Row],[Balance]]&gt;=10000, "High Balance", IF(Customer_Data[[#This Row],[Balance]]&gt;=5000, "Medium Balance",  "Low Balance"))</f>
        <v>Medium Balance</v>
      </c>
      <c r="M19" t="str">
        <f ca="1">IF(Customer_Data[[#This Row],[CustomerAge]]="","Missing DOB",
IF(Customer_Data[[#This Row],[CustomerAge]]&lt;26,"18-25",
IF(Customer_Data[[#This Row],[CustomerAge]]&lt;36,"26-35",
IF(Customer_Data[[#This Row],[CustomerAge]]&lt;51,"36-50","51+"))))</f>
        <v>36-50</v>
      </c>
    </row>
    <row r="20" spans="1:13" x14ac:dyDescent="0.25">
      <c r="A20">
        <v>119</v>
      </c>
      <c r="B20" t="s">
        <v>75</v>
      </c>
      <c r="C20" t="s">
        <v>92</v>
      </c>
      <c r="D20" s="1">
        <v>33134</v>
      </c>
      <c r="E20" t="s">
        <v>76</v>
      </c>
      <c r="F20" t="s">
        <v>18</v>
      </c>
      <c r="G20" t="s">
        <v>77</v>
      </c>
      <c r="H20" t="s">
        <v>54</v>
      </c>
      <c r="I20" s="1">
        <v>43925</v>
      </c>
      <c r="J20">
        <v>500</v>
      </c>
      <c r="K20">
        <f ca="1">IF(Customer_Data[[#This Row],[DateOfBirth]]="","",DATEDIF(Customer_Data[[#This Row],[DateOfBirth]],TODAY(),"Y"))</f>
        <v>35</v>
      </c>
      <c r="L20" t="str">
        <f>IF(Customer_Data[[#This Row],[Balance]]&gt;=10000, "High Balance", IF(Customer_Data[[#This Row],[Balance]]&gt;=5000, "Medium Balance",  "Low Balance"))</f>
        <v>Low Balance</v>
      </c>
      <c r="M20" t="str">
        <f ca="1">IF(Customer_Data[[#This Row],[CustomerAge]]="","Missing DOB",
IF(Customer_Data[[#This Row],[CustomerAge]]&lt;26,"18-25",
IF(Customer_Data[[#This Row],[CustomerAge]]&lt;36,"26-35",
IF(Customer_Data[[#This Row],[CustomerAge]]&lt;51,"36-50","51+"))))</f>
        <v>26-35</v>
      </c>
    </row>
    <row r="21" spans="1:13" x14ac:dyDescent="0.25">
      <c r="A21">
        <v>120</v>
      </c>
      <c r="B21" t="s">
        <v>78</v>
      </c>
      <c r="C21" t="s">
        <v>92</v>
      </c>
      <c r="D21" s="1">
        <v>30681</v>
      </c>
      <c r="E21" t="s">
        <v>79</v>
      </c>
      <c r="F21" t="s">
        <v>13</v>
      </c>
      <c r="G21" t="s">
        <v>80</v>
      </c>
      <c r="H21" t="s">
        <v>38</v>
      </c>
      <c r="I21" s="1">
        <v>43669</v>
      </c>
      <c r="J21">
        <v>9200</v>
      </c>
      <c r="K21">
        <f ca="1">IF(Customer_Data[[#This Row],[DateOfBirth]]="","",DATEDIF(Customer_Data[[#This Row],[DateOfBirth]],TODAY(),"Y"))</f>
        <v>42</v>
      </c>
      <c r="L21" t="str">
        <f>IF(Customer_Data[[#This Row],[Balance]]&gt;=10000, "High Balance", IF(Customer_Data[[#This Row],[Balance]]&gt;=5000, "Medium Balance",  "Low Balance"))</f>
        <v>Medium Balance</v>
      </c>
      <c r="M21" t="str">
        <f ca="1">IF(Customer_Data[[#This Row],[CustomerAge]]="","Missing DOB",
IF(Customer_Data[[#This Row],[CustomerAge]]&lt;26,"18-25",
IF(Customer_Data[[#This Row],[CustomerAge]]&lt;36,"26-35",
IF(Customer_Data[[#This Row],[CustomerAge]]&lt;51,"36-50","51+"))))</f>
        <v>36-50</v>
      </c>
    </row>
  </sheetData>
  <conditionalFormatting sqref="J1:J1048576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4B315-F7CB-47DE-BA83-30087A30104C}">
  <dimension ref="A1:I21"/>
  <sheetViews>
    <sheetView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4.28515625" bestFit="1" customWidth="1"/>
    <col min="3" max="3" width="18.140625" style="1" bestFit="1" customWidth="1"/>
    <col min="4" max="4" width="18.140625" bestFit="1" customWidth="1"/>
    <col min="5" max="5" width="21" bestFit="1" customWidth="1"/>
    <col min="6" max="6" width="21.7109375" bestFit="1" customWidth="1"/>
    <col min="7" max="7" width="17.42578125" bestFit="1" customWidth="1"/>
    <col min="8" max="8" width="15.5703125" bestFit="1" customWidth="1"/>
    <col min="9" max="9" width="21.5703125" bestFit="1" customWidth="1"/>
  </cols>
  <sheetData>
    <row r="1" spans="1:9" x14ac:dyDescent="0.25">
      <c r="A1" t="s">
        <v>81</v>
      </c>
      <c r="B1" t="s">
        <v>4</v>
      </c>
      <c r="C1" s="1" t="s">
        <v>82</v>
      </c>
      <c r="D1" t="s">
        <v>83</v>
      </c>
      <c r="E1" t="s">
        <v>84</v>
      </c>
      <c r="F1" t="s">
        <v>85</v>
      </c>
      <c r="G1" t="s">
        <v>96</v>
      </c>
      <c r="H1" t="s">
        <v>110</v>
      </c>
      <c r="I1" t="s">
        <v>124</v>
      </c>
    </row>
    <row r="2" spans="1:9" x14ac:dyDescent="0.25">
      <c r="A2">
        <v>201</v>
      </c>
      <c r="B2" t="s">
        <v>12</v>
      </c>
      <c r="C2" s="1">
        <v>44566</v>
      </c>
      <c r="D2" t="s">
        <v>86</v>
      </c>
      <c r="E2">
        <v>500</v>
      </c>
      <c r="F2" t="s">
        <v>88</v>
      </c>
      <c r="G2" t="str">
        <f>TEXT(Transaction_Data[[#This Row],[TransactionDate]], "MMM")</f>
        <v>Jan</v>
      </c>
      <c r="H2">
        <f>YEAR(Transaction_Data[[#This Row],[TransactionDate]])</f>
        <v>2022</v>
      </c>
      <c r="I2" t="str">
        <f>TEXT(Transaction_Data[[#This Row],[TransactionDate]],"MMM-YYYY")</f>
        <v>Jan-2022</v>
      </c>
    </row>
    <row r="3" spans="1:9" x14ac:dyDescent="0.25">
      <c r="A3">
        <v>202</v>
      </c>
      <c r="B3" t="s">
        <v>17</v>
      </c>
      <c r="C3" s="1">
        <v>44607</v>
      </c>
      <c r="D3" t="s">
        <v>87</v>
      </c>
      <c r="E3">
        <v>200</v>
      </c>
      <c r="F3" t="s">
        <v>88</v>
      </c>
      <c r="G3" t="str">
        <f>TEXT(Transaction_Data[[#This Row],[TransactionDate]], "MMM")</f>
        <v>Feb</v>
      </c>
      <c r="H3">
        <f>YEAR(Transaction_Data[[#This Row],[TransactionDate]])</f>
        <v>2022</v>
      </c>
      <c r="I3" t="str">
        <f>TEXT(Transaction_Data[[#This Row],[TransactionDate]],"MMM-YYYY")</f>
        <v>Feb-2022</v>
      </c>
    </row>
    <row r="4" spans="1:9" x14ac:dyDescent="0.25">
      <c r="A4">
        <v>203</v>
      </c>
      <c r="B4" t="s">
        <v>23</v>
      </c>
      <c r="C4" s="1">
        <v>44635</v>
      </c>
      <c r="D4" t="s">
        <v>86</v>
      </c>
      <c r="E4">
        <v>300</v>
      </c>
      <c r="F4" t="s">
        <v>93</v>
      </c>
      <c r="G4" t="str">
        <f>TEXT(Transaction_Data[[#This Row],[TransactionDate]], "MMM")</f>
        <v>Mar</v>
      </c>
      <c r="H4">
        <f>YEAR(Transaction_Data[[#This Row],[TransactionDate]])</f>
        <v>2022</v>
      </c>
      <c r="I4" t="str">
        <f>TEXT(Transaction_Data[[#This Row],[TransactionDate]],"MMM-YYYY")</f>
        <v>Mar-2022</v>
      </c>
    </row>
    <row r="5" spans="1:9" x14ac:dyDescent="0.25">
      <c r="A5">
        <v>204</v>
      </c>
      <c r="B5" t="s">
        <v>27</v>
      </c>
      <c r="C5" s="1">
        <v>44661</v>
      </c>
      <c r="D5" t="s">
        <v>87</v>
      </c>
      <c r="E5">
        <v>-400</v>
      </c>
      <c r="F5" t="s">
        <v>89</v>
      </c>
      <c r="G5" t="str">
        <f>TEXT(Transaction_Data[[#This Row],[TransactionDate]], "MMM")</f>
        <v>Apr</v>
      </c>
      <c r="H5">
        <f>YEAR(Transaction_Data[[#This Row],[TransactionDate]])</f>
        <v>2022</v>
      </c>
      <c r="I5" t="str">
        <f>TEXT(Transaction_Data[[#This Row],[TransactionDate]],"MMM-YYYY")</f>
        <v>Apr-2022</v>
      </c>
    </row>
    <row r="6" spans="1:9" x14ac:dyDescent="0.25">
      <c r="A6">
        <v>205</v>
      </c>
      <c r="B6" t="s">
        <v>30</v>
      </c>
      <c r="C6" s="1">
        <v>44681</v>
      </c>
      <c r="D6" t="s">
        <v>86</v>
      </c>
      <c r="E6">
        <v>450</v>
      </c>
      <c r="F6" t="s">
        <v>94</v>
      </c>
      <c r="G6" t="str">
        <f>TEXT(Transaction_Data[[#This Row],[TransactionDate]], "MMM")</f>
        <v>Apr</v>
      </c>
      <c r="H6">
        <f>YEAR(Transaction_Data[[#This Row],[TransactionDate]])</f>
        <v>2022</v>
      </c>
      <c r="I6" t="str">
        <f>TEXT(Transaction_Data[[#This Row],[TransactionDate]],"MMM-YYYY")</f>
        <v>Apr-2022</v>
      </c>
    </row>
    <row r="7" spans="1:9" x14ac:dyDescent="0.25">
      <c r="A7">
        <v>206</v>
      </c>
      <c r="B7" t="s">
        <v>33</v>
      </c>
      <c r="C7" s="1">
        <v>44701</v>
      </c>
      <c r="D7" t="s">
        <v>87</v>
      </c>
      <c r="E7">
        <v>100</v>
      </c>
      <c r="F7" t="s">
        <v>90</v>
      </c>
      <c r="G7" t="str">
        <f>TEXT(Transaction_Data[[#This Row],[TransactionDate]], "MMM")</f>
        <v>May</v>
      </c>
      <c r="H7">
        <f>YEAR(Transaction_Data[[#This Row],[TransactionDate]])</f>
        <v>2022</v>
      </c>
      <c r="I7" t="str">
        <f>TEXT(Transaction_Data[[#This Row],[TransactionDate]],"MMM-YYYY")</f>
        <v>May-2022</v>
      </c>
    </row>
    <row r="8" spans="1:9" x14ac:dyDescent="0.25">
      <c r="A8">
        <v>207</v>
      </c>
      <c r="B8" t="s">
        <v>36</v>
      </c>
      <c r="C8" s="1">
        <v>44737</v>
      </c>
      <c r="D8" t="s">
        <v>86</v>
      </c>
      <c r="E8">
        <v>750</v>
      </c>
      <c r="F8" t="s">
        <v>91</v>
      </c>
      <c r="G8" t="str">
        <f>TEXT(Transaction_Data[[#This Row],[TransactionDate]], "MMM")</f>
        <v>Jun</v>
      </c>
      <c r="H8">
        <f>YEAR(Transaction_Data[[#This Row],[TransactionDate]])</f>
        <v>2022</v>
      </c>
      <c r="I8" t="str">
        <f>TEXT(Transaction_Data[[#This Row],[TransactionDate]],"MMM-YYYY")</f>
        <v>Jun-2022</v>
      </c>
    </row>
    <row r="9" spans="1:9" x14ac:dyDescent="0.25">
      <c r="A9">
        <v>208</v>
      </c>
      <c r="B9" t="s">
        <v>40</v>
      </c>
      <c r="C9" s="1">
        <v>44747</v>
      </c>
      <c r="D9" t="s">
        <v>87</v>
      </c>
      <c r="E9">
        <v>200</v>
      </c>
      <c r="F9" t="s">
        <v>91</v>
      </c>
      <c r="G9" t="str">
        <f>TEXT(Transaction_Data[[#This Row],[TransactionDate]], "MMM")</f>
        <v>Jul</v>
      </c>
      <c r="H9">
        <f>YEAR(Transaction_Data[[#This Row],[TransactionDate]])</f>
        <v>2022</v>
      </c>
      <c r="I9" t="str">
        <f>TEXT(Transaction_Data[[#This Row],[TransactionDate]],"MMM-YYYY")</f>
        <v>Jul-2022</v>
      </c>
    </row>
    <row r="10" spans="1:9" x14ac:dyDescent="0.25">
      <c r="A10">
        <v>209</v>
      </c>
      <c r="B10" t="s">
        <v>43</v>
      </c>
      <c r="C10" s="1">
        <v>44788</v>
      </c>
      <c r="D10" t="s">
        <v>86</v>
      </c>
      <c r="E10">
        <v>600</v>
      </c>
      <c r="F10" t="s">
        <v>88</v>
      </c>
      <c r="G10" t="str">
        <f>TEXT(Transaction_Data[[#This Row],[TransactionDate]], "MMM")</f>
        <v>Aug</v>
      </c>
      <c r="H10">
        <f>YEAR(Transaction_Data[[#This Row],[TransactionDate]])</f>
        <v>2022</v>
      </c>
      <c r="I10" t="str">
        <f>TEXT(Transaction_Data[[#This Row],[TransactionDate]],"MMM-YYYY")</f>
        <v>Aug-2022</v>
      </c>
    </row>
    <row r="11" spans="1:9" x14ac:dyDescent="0.25">
      <c r="A11">
        <v>210</v>
      </c>
      <c r="B11" t="s">
        <v>46</v>
      </c>
      <c r="C11" s="1">
        <v>44805</v>
      </c>
      <c r="D11" t="s">
        <v>87</v>
      </c>
      <c r="E11">
        <v>0</v>
      </c>
      <c r="F11" t="s">
        <v>88</v>
      </c>
      <c r="G11" t="str">
        <f>TEXT(Transaction_Data[[#This Row],[TransactionDate]], "MMM")</f>
        <v>Sep</v>
      </c>
      <c r="H11">
        <f>YEAR(Transaction_Data[[#This Row],[TransactionDate]])</f>
        <v>2022</v>
      </c>
      <c r="I11" t="str">
        <f>TEXT(Transaction_Data[[#This Row],[TransactionDate]],"MMM-YYYY")</f>
        <v>Sep-2022</v>
      </c>
    </row>
    <row r="12" spans="1:9" x14ac:dyDescent="0.25">
      <c r="A12">
        <v>211</v>
      </c>
      <c r="B12" t="s">
        <v>49</v>
      </c>
      <c r="C12" s="1">
        <v>44846</v>
      </c>
      <c r="D12" t="s">
        <v>86</v>
      </c>
      <c r="E12">
        <v>400</v>
      </c>
      <c r="F12" t="s">
        <v>94</v>
      </c>
      <c r="G12" t="str">
        <f>TEXT(Transaction_Data[[#This Row],[TransactionDate]], "MMM")</f>
        <v>Oct</v>
      </c>
      <c r="H12">
        <f>YEAR(Transaction_Data[[#This Row],[TransactionDate]])</f>
        <v>2022</v>
      </c>
      <c r="I12" t="str">
        <f>TEXT(Transaction_Data[[#This Row],[TransactionDate]],"MMM-YYYY")</f>
        <v>Oct-2022</v>
      </c>
    </row>
    <row r="13" spans="1:9" x14ac:dyDescent="0.25">
      <c r="A13">
        <v>212</v>
      </c>
      <c r="B13" t="s">
        <v>52</v>
      </c>
      <c r="C13" s="1">
        <v>44876</v>
      </c>
      <c r="D13" t="s">
        <v>87</v>
      </c>
      <c r="E13">
        <v>100</v>
      </c>
      <c r="F13" t="s">
        <v>94</v>
      </c>
      <c r="G13" t="str">
        <f>TEXT(Transaction_Data[[#This Row],[TransactionDate]], "MMM")</f>
        <v>Nov</v>
      </c>
      <c r="H13">
        <f>YEAR(Transaction_Data[[#This Row],[TransactionDate]])</f>
        <v>2022</v>
      </c>
      <c r="I13" t="str">
        <f>TEXT(Transaction_Data[[#This Row],[TransactionDate]],"MMM-YYYY")</f>
        <v>Nov-2022</v>
      </c>
    </row>
    <row r="14" spans="1:9" x14ac:dyDescent="0.25">
      <c r="A14">
        <v>213</v>
      </c>
      <c r="B14" t="s">
        <v>56</v>
      </c>
      <c r="C14" s="1">
        <v>44920</v>
      </c>
      <c r="D14" t="s">
        <v>86</v>
      </c>
      <c r="E14">
        <v>250</v>
      </c>
      <c r="F14" t="s">
        <v>93</v>
      </c>
      <c r="G14" t="str">
        <f>TEXT(Transaction_Data[[#This Row],[TransactionDate]], "MMM")</f>
        <v>Dec</v>
      </c>
      <c r="H14">
        <f>YEAR(Transaction_Data[[#This Row],[TransactionDate]])</f>
        <v>2022</v>
      </c>
      <c r="I14" t="str">
        <f>TEXT(Transaction_Data[[#This Row],[TransactionDate]],"MMM-YYYY")</f>
        <v>Dec-2022</v>
      </c>
    </row>
    <row r="15" spans="1:9" x14ac:dyDescent="0.25">
      <c r="A15">
        <v>214</v>
      </c>
      <c r="B15" t="s">
        <v>59</v>
      </c>
      <c r="C15" s="1">
        <v>44576</v>
      </c>
      <c r="D15" t="s">
        <v>86</v>
      </c>
      <c r="E15">
        <v>1000</v>
      </c>
      <c r="F15" t="s">
        <v>89</v>
      </c>
      <c r="G15" t="str">
        <f>TEXT(Transaction_Data[[#This Row],[TransactionDate]], "MMM")</f>
        <v>Jan</v>
      </c>
      <c r="H15">
        <f>YEAR(Transaction_Data[[#This Row],[TransactionDate]])</f>
        <v>2022</v>
      </c>
      <c r="I15" t="str">
        <f>TEXT(Transaction_Data[[#This Row],[TransactionDate]],"MMM-YYYY")</f>
        <v>Jan-2022</v>
      </c>
    </row>
    <row r="16" spans="1:9" x14ac:dyDescent="0.25">
      <c r="A16">
        <v>215</v>
      </c>
      <c r="B16" t="s">
        <v>62</v>
      </c>
      <c r="C16" s="1">
        <v>44620</v>
      </c>
      <c r="D16" t="s">
        <v>87</v>
      </c>
      <c r="E16">
        <v>-200</v>
      </c>
      <c r="F16" t="s">
        <v>91</v>
      </c>
      <c r="G16" t="str">
        <f>TEXT(Transaction_Data[[#This Row],[TransactionDate]], "MMM")</f>
        <v>Feb</v>
      </c>
      <c r="H16">
        <f>YEAR(Transaction_Data[[#This Row],[TransactionDate]])</f>
        <v>2022</v>
      </c>
      <c r="I16" t="str">
        <f>TEXT(Transaction_Data[[#This Row],[TransactionDate]],"MMM-YYYY")</f>
        <v>Feb-2022</v>
      </c>
    </row>
    <row r="17" spans="1:9" x14ac:dyDescent="0.25">
      <c r="A17">
        <v>216</v>
      </c>
      <c r="B17" t="s">
        <v>65</v>
      </c>
      <c r="C17" s="1">
        <v>44634</v>
      </c>
      <c r="D17" t="s">
        <v>86</v>
      </c>
      <c r="E17">
        <v>500</v>
      </c>
      <c r="F17" t="s">
        <v>91</v>
      </c>
      <c r="G17" t="str">
        <f>TEXT(Transaction_Data[[#This Row],[TransactionDate]], "MMM")</f>
        <v>Mar</v>
      </c>
      <c r="H17">
        <f>YEAR(Transaction_Data[[#This Row],[TransactionDate]])</f>
        <v>2022</v>
      </c>
      <c r="I17" t="str">
        <f>TEXT(Transaction_Data[[#This Row],[TransactionDate]],"MMM-YYYY")</f>
        <v>Mar-2022</v>
      </c>
    </row>
    <row r="18" spans="1:9" x14ac:dyDescent="0.25">
      <c r="A18">
        <v>217</v>
      </c>
      <c r="B18" t="s">
        <v>69</v>
      </c>
      <c r="C18" s="1">
        <v>44673</v>
      </c>
      <c r="D18" t="s">
        <v>86</v>
      </c>
      <c r="E18">
        <v>800</v>
      </c>
      <c r="F18" t="s">
        <v>88</v>
      </c>
      <c r="G18" t="str">
        <f>TEXT(Transaction_Data[[#This Row],[TransactionDate]], "MMM")</f>
        <v>Apr</v>
      </c>
      <c r="H18">
        <f>YEAR(Transaction_Data[[#This Row],[TransactionDate]])</f>
        <v>2022</v>
      </c>
      <c r="I18" t="str">
        <f>TEXT(Transaction_Data[[#This Row],[TransactionDate]],"MMM-YYYY")</f>
        <v>Apr-2022</v>
      </c>
    </row>
    <row r="19" spans="1:9" x14ac:dyDescent="0.25">
      <c r="A19">
        <v>218</v>
      </c>
      <c r="B19" t="s">
        <v>72</v>
      </c>
      <c r="C19" s="1">
        <v>44711</v>
      </c>
      <c r="D19" t="s">
        <v>87</v>
      </c>
      <c r="E19">
        <v>700</v>
      </c>
      <c r="F19" t="s">
        <v>88</v>
      </c>
      <c r="G19" t="str">
        <f>TEXT(Transaction_Data[[#This Row],[TransactionDate]], "MMM")</f>
        <v>May</v>
      </c>
      <c r="H19">
        <f>YEAR(Transaction_Data[[#This Row],[TransactionDate]])</f>
        <v>2022</v>
      </c>
      <c r="I19" t="str">
        <f>TEXT(Transaction_Data[[#This Row],[TransactionDate]],"MMM-YYYY")</f>
        <v>May-2022</v>
      </c>
    </row>
    <row r="20" spans="1:9" x14ac:dyDescent="0.25">
      <c r="A20">
        <v>219</v>
      </c>
      <c r="B20" t="s">
        <v>76</v>
      </c>
      <c r="C20" s="1">
        <v>44727</v>
      </c>
      <c r="D20" t="s">
        <v>86</v>
      </c>
      <c r="E20">
        <v>350</v>
      </c>
      <c r="F20" t="s">
        <v>94</v>
      </c>
      <c r="G20" t="str">
        <f>TEXT(Transaction_Data[[#This Row],[TransactionDate]], "MMM")</f>
        <v>Jun</v>
      </c>
      <c r="H20">
        <f>YEAR(Transaction_Data[[#This Row],[TransactionDate]])</f>
        <v>2022</v>
      </c>
      <c r="I20" t="str">
        <f>TEXT(Transaction_Data[[#This Row],[TransactionDate]],"MMM-YYYY")</f>
        <v>Jun-2022</v>
      </c>
    </row>
    <row r="21" spans="1:9" x14ac:dyDescent="0.25">
      <c r="A21">
        <v>220</v>
      </c>
      <c r="B21" t="s">
        <v>79</v>
      </c>
      <c r="C21" s="1">
        <v>44762</v>
      </c>
      <c r="D21" t="s">
        <v>87</v>
      </c>
      <c r="E21">
        <v>600</v>
      </c>
      <c r="F21" t="s">
        <v>94</v>
      </c>
      <c r="G21" t="str">
        <f>TEXT(Transaction_Data[[#This Row],[TransactionDate]], "MMM")</f>
        <v>Jul</v>
      </c>
      <c r="H21">
        <f>YEAR(Transaction_Data[[#This Row],[TransactionDate]])</f>
        <v>2022</v>
      </c>
      <c r="I21" t="str">
        <f>TEXT(Transaction_Data[[#This Row],[TransactionDate]],"MMM-YYYY")</f>
        <v>Jul-2022</v>
      </c>
    </row>
  </sheetData>
  <conditionalFormatting sqref="E1:E1048576">
    <cfRule type="cellIs" dxfId="1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EA8CF-797C-408A-A20A-8414A2070F68}">
  <dimension ref="A3:B7"/>
  <sheetViews>
    <sheetView workbookViewId="0">
      <selection activeCell="B12" sqref="B12"/>
    </sheetView>
  </sheetViews>
  <sheetFormatPr defaultRowHeight="15" x14ac:dyDescent="0.25"/>
  <cols>
    <col min="1" max="1" width="13.42578125" bestFit="1" customWidth="1"/>
    <col min="2" max="2" width="20.5703125" bestFit="1" customWidth="1"/>
  </cols>
  <sheetData>
    <row r="3" spans="1:2" x14ac:dyDescent="0.25">
      <c r="A3" s="4" t="s">
        <v>99</v>
      </c>
      <c r="B3" t="s">
        <v>104</v>
      </c>
    </row>
    <row r="4" spans="1:2" x14ac:dyDescent="0.25">
      <c r="A4" s="5" t="s">
        <v>100</v>
      </c>
      <c r="B4">
        <v>7</v>
      </c>
    </row>
    <row r="5" spans="1:2" x14ac:dyDescent="0.25">
      <c r="A5" s="5" t="s">
        <v>101</v>
      </c>
      <c r="B5">
        <v>11</v>
      </c>
    </row>
    <row r="6" spans="1:2" x14ac:dyDescent="0.25">
      <c r="A6" s="5" t="s">
        <v>102</v>
      </c>
      <c r="B6">
        <v>2</v>
      </c>
    </row>
    <row r="7" spans="1:2" x14ac:dyDescent="0.25">
      <c r="A7" s="5" t="s">
        <v>103</v>
      </c>
      <c r="B7">
        <v>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2EEF-37F0-4A82-B9AB-2E061F7D1CD0}">
  <dimension ref="A3:E7"/>
  <sheetViews>
    <sheetView workbookViewId="0">
      <selection activeCell="I34" sqref="I34"/>
    </sheetView>
  </sheetViews>
  <sheetFormatPr defaultRowHeight="15" x14ac:dyDescent="0.25"/>
  <cols>
    <col min="1" max="1" width="14.85546875" bestFit="1" customWidth="1"/>
    <col min="2" max="2" width="16.85546875" bestFit="1" customWidth="1"/>
    <col min="3" max="3" width="12" bestFit="1" customWidth="1"/>
    <col min="4" max="4" width="15.85546875" bestFit="1" customWidth="1"/>
    <col min="5" max="5" width="11.28515625" bestFit="1" customWidth="1"/>
  </cols>
  <sheetData>
    <row r="3" spans="1:5" x14ac:dyDescent="0.25">
      <c r="A3" s="4" t="s">
        <v>105</v>
      </c>
      <c r="B3" s="4" t="s">
        <v>109</v>
      </c>
    </row>
    <row r="4" spans="1:5" x14ac:dyDescent="0.25">
      <c r="A4" s="4" t="s">
        <v>99</v>
      </c>
      <c r="B4" t="s">
        <v>106</v>
      </c>
      <c r="C4" t="s">
        <v>107</v>
      </c>
      <c r="D4" t="s">
        <v>108</v>
      </c>
      <c r="E4" t="s">
        <v>103</v>
      </c>
    </row>
    <row r="5" spans="1:5" x14ac:dyDescent="0.25">
      <c r="A5" s="5" t="s">
        <v>18</v>
      </c>
      <c r="B5">
        <v>10000</v>
      </c>
      <c r="C5">
        <v>6000</v>
      </c>
      <c r="D5">
        <v>14200</v>
      </c>
      <c r="E5">
        <v>30200</v>
      </c>
    </row>
    <row r="6" spans="1:5" x14ac:dyDescent="0.25">
      <c r="A6" s="5" t="s">
        <v>13</v>
      </c>
      <c r="B6">
        <v>55000</v>
      </c>
      <c r="C6">
        <v>5000</v>
      </c>
      <c r="D6">
        <v>44200</v>
      </c>
      <c r="E6">
        <v>104200</v>
      </c>
    </row>
    <row r="7" spans="1:5" x14ac:dyDescent="0.25">
      <c r="A7" s="5" t="s">
        <v>103</v>
      </c>
      <c r="B7">
        <v>65000</v>
      </c>
      <c r="C7">
        <v>11000</v>
      </c>
      <c r="D7">
        <v>58400</v>
      </c>
      <c r="E7">
        <v>134400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120B-F4E1-41BB-BE9F-0AECA69D8548}">
  <dimension ref="A3:B9"/>
  <sheetViews>
    <sheetView workbookViewId="0">
      <selection activeCell="E34" sqref="E34"/>
    </sheetView>
  </sheetViews>
  <sheetFormatPr defaultRowHeight="15" x14ac:dyDescent="0.25"/>
  <cols>
    <col min="1" max="1" width="15.140625" bestFit="1" customWidth="1"/>
    <col min="2" max="2" width="20.5703125" bestFit="1" customWidth="1"/>
  </cols>
  <sheetData>
    <row r="3" spans="1:2" x14ac:dyDescent="0.25">
      <c r="A3" s="4" t="s">
        <v>99</v>
      </c>
      <c r="B3" t="s">
        <v>104</v>
      </c>
    </row>
    <row r="4" spans="1:2" x14ac:dyDescent="0.25">
      <c r="A4" s="5" t="s">
        <v>67</v>
      </c>
      <c r="B4">
        <v>1</v>
      </c>
    </row>
    <row r="5" spans="1:2" x14ac:dyDescent="0.25">
      <c r="A5" s="5" t="s">
        <v>38</v>
      </c>
      <c r="B5">
        <v>4</v>
      </c>
    </row>
    <row r="6" spans="1:2" x14ac:dyDescent="0.25">
      <c r="A6" s="5" t="s">
        <v>74</v>
      </c>
      <c r="B6">
        <v>1</v>
      </c>
    </row>
    <row r="7" spans="1:2" x14ac:dyDescent="0.25">
      <c r="A7" s="5" t="s">
        <v>54</v>
      </c>
      <c r="B7">
        <v>3</v>
      </c>
    </row>
    <row r="8" spans="1:2" x14ac:dyDescent="0.25">
      <c r="A8" s="5" t="s">
        <v>20</v>
      </c>
      <c r="B8">
        <v>11</v>
      </c>
    </row>
    <row r="9" spans="1:2" x14ac:dyDescent="0.25">
      <c r="A9" s="5" t="s">
        <v>103</v>
      </c>
      <c r="B9">
        <v>20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EFE8-D432-41CE-BBDE-3839B2440C3C}">
  <dimension ref="A3:B16"/>
  <sheetViews>
    <sheetView workbookViewId="0">
      <selection activeCell="F33" sqref="F33"/>
    </sheetView>
  </sheetViews>
  <sheetFormatPr defaultRowHeight="15" x14ac:dyDescent="0.25"/>
  <cols>
    <col min="1" max="1" width="13.42578125" bestFit="1" customWidth="1"/>
    <col min="2" max="2" width="22.140625" bestFit="1" customWidth="1"/>
  </cols>
  <sheetData>
    <row r="3" spans="1:2" x14ac:dyDescent="0.25">
      <c r="A3" s="4" t="s">
        <v>99</v>
      </c>
      <c r="B3" t="s">
        <v>123</v>
      </c>
    </row>
    <row r="4" spans="1:2" x14ac:dyDescent="0.25">
      <c r="A4" s="5" t="s">
        <v>125</v>
      </c>
      <c r="B4">
        <v>3</v>
      </c>
    </row>
    <row r="5" spans="1:2" x14ac:dyDescent="0.25">
      <c r="A5" s="5" t="s">
        <v>126</v>
      </c>
      <c r="B5">
        <v>1</v>
      </c>
    </row>
    <row r="6" spans="1:2" x14ac:dyDescent="0.25">
      <c r="A6" s="5" t="s">
        <v>127</v>
      </c>
      <c r="B6">
        <v>1</v>
      </c>
    </row>
    <row r="7" spans="1:2" x14ac:dyDescent="0.25">
      <c r="A7" s="5" t="s">
        <v>128</v>
      </c>
      <c r="B7">
        <v>2</v>
      </c>
    </row>
    <row r="8" spans="1:2" x14ac:dyDescent="0.25">
      <c r="A8" s="5" t="s">
        <v>129</v>
      </c>
      <c r="B8">
        <v>2</v>
      </c>
    </row>
    <row r="9" spans="1:2" x14ac:dyDescent="0.25">
      <c r="A9" s="5" t="s">
        <v>130</v>
      </c>
      <c r="B9">
        <v>2</v>
      </c>
    </row>
    <row r="10" spans="1:2" x14ac:dyDescent="0.25">
      <c r="A10" s="5" t="s">
        <v>131</v>
      </c>
      <c r="B10">
        <v>2</v>
      </c>
    </row>
    <row r="11" spans="1:2" x14ac:dyDescent="0.25">
      <c r="A11" s="5" t="s">
        <v>132</v>
      </c>
      <c r="B11">
        <v>2</v>
      </c>
    </row>
    <row r="12" spans="1:2" x14ac:dyDescent="0.25">
      <c r="A12" s="5" t="s">
        <v>133</v>
      </c>
      <c r="B12">
        <v>2</v>
      </c>
    </row>
    <row r="13" spans="1:2" x14ac:dyDescent="0.25">
      <c r="A13" s="5" t="s">
        <v>134</v>
      </c>
      <c r="B13">
        <v>1</v>
      </c>
    </row>
    <row r="14" spans="1:2" x14ac:dyDescent="0.25">
      <c r="A14" s="5" t="s">
        <v>135</v>
      </c>
      <c r="B14">
        <v>1</v>
      </c>
    </row>
    <row r="15" spans="1:2" x14ac:dyDescent="0.25">
      <c r="A15" s="5" t="s">
        <v>136</v>
      </c>
      <c r="B15">
        <v>1</v>
      </c>
    </row>
    <row r="16" spans="1:2" x14ac:dyDescent="0.25">
      <c r="A16" s="5" t="s">
        <v>103</v>
      </c>
      <c r="B16">
        <v>20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F3A9-81C8-43A6-B0A8-9FFCCED62CFA}">
  <dimension ref="A3:B6"/>
  <sheetViews>
    <sheetView workbookViewId="0">
      <selection activeCell="I33" sqref="I33"/>
    </sheetView>
  </sheetViews>
  <sheetFormatPr defaultRowHeight="15" x14ac:dyDescent="0.25"/>
  <cols>
    <col min="1" max="1" width="13.42578125" bestFit="1" customWidth="1"/>
    <col min="2" max="2" width="22.140625" bestFit="1" customWidth="1"/>
  </cols>
  <sheetData>
    <row r="3" spans="1:2" x14ac:dyDescent="0.25">
      <c r="A3" s="4" t="s">
        <v>99</v>
      </c>
      <c r="B3" t="s">
        <v>123</v>
      </c>
    </row>
    <row r="4" spans="1:2" x14ac:dyDescent="0.25">
      <c r="A4" s="5" t="s">
        <v>86</v>
      </c>
      <c r="B4">
        <v>11</v>
      </c>
    </row>
    <row r="5" spans="1:2" x14ac:dyDescent="0.25">
      <c r="A5" s="5" t="s">
        <v>87</v>
      </c>
      <c r="B5">
        <v>9</v>
      </c>
    </row>
    <row r="6" spans="1:2" x14ac:dyDescent="0.25">
      <c r="A6" s="5" t="s">
        <v>103</v>
      </c>
      <c r="B6">
        <v>20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02BF-2569-4FEB-A937-F30E0F5E315A}">
  <dimension ref="A3:B16"/>
  <sheetViews>
    <sheetView workbookViewId="0">
      <selection activeCell="F35" sqref="F35"/>
    </sheetView>
  </sheetViews>
  <sheetFormatPr defaultRowHeight="15" x14ac:dyDescent="0.25"/>
  <cols>
    <col min="1" max="1" width="13.42578125" bestFit="1" customWidth="1"/>
    <col min="2" max="2" width="28.85546875" bestFit="1" customWidth="1"/>
  </cols>
  <sheetData>
    <row r="3" spans="1:2" x14ac:dyDescent="0.25">
      <c r="A3" s="4" t="s">
        <v>99</v>
      </c>
      <c r="B3" t="s">
        <v>137</v>
      </c>
    </row>
    <row r="4" spans="1:2" x14ac:dyDescent="0.25">
      <c r="A4" s="5" t="s">
        <v>111</v>
      </c>
      <c r="B4">
        <v>750</v>
      </c>
    </row>
    <row r="5" spans="1:2" x14ac:dyDescent="0.25">
      <c r="A5" s="5" t="s">
        <v>112</v>
      </c>
      <c r="B5">
        <v>0</v>
      </c>
    </row>
    <row r="6" spans="1:2" x14ac:dyDescent="0.25">
      <c r="A6" s="5" t="s">
        <v>113</v>
      </c>
      <c r="B6">
        <v>400</v>
      </c>
    </row>
    <row r="7" spans="1:2" x14ac:dyDescent="0.25">
      <c r="A7" s="5" t="s">
        <v>114</v>
      </c>
      <c r="B7">
        <v>283.33333333333331</v>
      </c>
    </row>
    <row r="8" spans="1:2" x14ac:dyDescent="0.25">
      <c r="A8" s="5" t="s">
        <v>115</v>
      </c>
      <c r="B8">
        <v>400</v>
      </c>
    </row>
    <row r="9" spans="1:2" x14ac:dyDescent="0.25">
      <c r="A9" s="5" t="s">
        <v>116</v>
      </c>
      <c r="B9">
        <v>550</v>
      </c>
    </row>
    <row r="10" spans="1:2" x14ac:dyDescent="0.25">
      <c r="A10" s="5" t="s">
        <v>117</v>
      </c>
      <c r="B10">
        <v>400</v>
      </c>
    </row>
    <row r="11" spans="1:2" x14ac:dyDescent="0.25">
      <c r="A11" s="5" t="s">
        <v>118</v>
      </c>
      <c r="B11">
        <v>600</v>
      </c>
    </row>
    <row r="12" spans="1:2" x14ac:dyDescent="0.25">
      <c r="A12" s="5" t="s">
        <v>119</v>
      </c>
      <c r="B12">
        <v>0</v>
      </c>
    </row>
    <row r="13" spans="1:2" x14ac:dyDescent="0.25">
      <c r="A13" s="5" t="s">
        <v>120</v>
      </c>
      <c r="B13">
        <v>400</v>
      </c>
    </row>
    <row r="14" spans="1:2" x14ac:dyDescent="0.25">
      <c r="A14" s="5" t="s">
        <v>121</v>
      </c>
      <c r="B14">
        <v>100</v>
      </c>
    </row>
    <row r="15" spans="1:2" x14ac:dyDescent="0.25">
      <c r="A15" s="5" t="s">
        <v>122</v>
      </c>
      <c r="B15">
        <v>250</v>
      </c>
    </row>
    <row r="16" spans="1:2" x14ac:dyDescent="0.25">
      <c r="A16" s="5" t="s">
        <v>103</v>
      </c>
      <c r="B16">
        <v>360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9B34-55F6-43D8-82EC-550544B9E428}">
  <dimension ref="A1:C2"/>
  <sheetViews>
    <sheetView workbookViewId="0">
      <selection activeCell="C3" sqref="C3"/>
    </sheetView>
  </sheetViews>
  <sheetFormatPr defaultRowHeight="15" x14ac:dyDescent="0.25"/>
  <cols>
    <col min="1" max="1" width="24.28515625" bestFit="1" customWidth="1"/>
  </cols>
  <sheetData>
    <row r="1" spans="1:3" x14ac:dyDescent="0.25">
      <c r="A1" t="s">
        <v>138</v>
      </c>
      <c r="C1">
        <f>COUNTA('Customer_Data'!A:A)</f>
        <v>21</v>
      </c>
    </row>
    <row r="2" spans="1:3" x14ac:dyDescent="0.25">
      <c r="A2" t="s">
        <v>139</v>
      </c>
      <c r="C2">
        <f>COUNTA(Transaction_Data!A:A)</f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E4C958-87E1-4980-A16E-EC5228A15A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Customer_Data</vt:lpstr>
      <vt:lpstr>Transaction_Data</vt:lpstr>
      <vt:lpstr>AgeDistribution</vt:lpstr>
      <vt:lpstr>BalanceDistribution</vt:lpstr>
      <vt:lpstr>CountrywideDistribution</vt:lpstr>
      <vt:lpstr>MonthlyTransaction</vt:lpstr>
      <vt:lpstr>TransactionType</vt:lpstr>
      <vt:lpstr>AverageTransactionAmount</vt:lpstr>
      <vt:lpstr>Summary_Sheet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Shahidullah Chowdhury</dc:creator>
  <cp:lastModifiedBy>Mohammad Shahidullah Chowdhury</cp:lastModifiedBy>
  <dcterms:created xsi:type="dcterms:W3CDTF">2026-03-09T05:59:38Z</dcterms:created>
  <dcterms:modified xsi:type="dcterms:W3CDTF">2026-03-10T09:10:09Z</dcterms:modified>
</cp:coreProperties>
</file>