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84D911D157F64/Data Engineering/Data Management Capstone/dmc m1/"/>
    </mc:Choice>
  </mc:AlternateContent>
  <xr:revisionPtr revIDLastSave="102" documentId="8_{B9818FE1-E147-4A57-8083-4AFE9368C1EE}" xr6:coauthVersionLast="47" xr6:coauthVersionMax="47" xr10:uidLastSave="{F5FE870C-BBCA-44CC-BBDF-FB4BA7BE8DF4}"/>
  <bookViews>
    <workbookView xWindow="-120" yWindow="-120" windowWidth="29040" windowHeight="15840" xr2:uid="{14CE6065-3B86-4F33-96E0-404749A9DC31}"/>
  </bookViews>
  <sheets>
    <sheet name="Customer_Data" sheetId="2" r:id="rId1"/>
    <sheet name="Transaction_Data" sheetId="3" r:id="rId2"/>
    <sheet name="Sheet1" sheetId="1" r:id="rId3"/>
  </sheets>
  <definedNames>
    <definedName name="ExternalData_1" localSheetId="0" hidden="1">'Customer_Data'!$A$1:$J$21</definedName>
    <definedName name="ExternalData_1" localSheetId="1" hidden="1">Transaction_Data!$A$1:$F$21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8F79C-E857-415B-8244-2B46BBA43409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  <connection id="2" xr16:uid="{DD140B2E-C8CE-45B2-930C-81C5E34DFA71}" keepAlive="1" name="Query - Transaction_Data" description="Connection to the 'Transaction_Data' query in the workbook." type="5" refreshedVersion="8" background="1" saveData="1">
    <dbPr connection="Provider=Microsoft.Mashup.OleDb.1;Data Source=$Workbook$;Location=Transaction_Data;Extended Properties=&quot;&quot;" command="SELECT * FROM [Transaction_Data]"/>
  </connection>
</connections>
</file>

<file path=xl/sharedStrings.xml><?xml version="1.0" encoding="utf-8"?>
<sst xmlns="http://schemas.openxmlformats.org/spreadsheetml/2006/main" count="199" uniqueCount="98">
  <si>
    <t>CustomerID</t>
  </si>
  <si>
    <t>CustomerName</t>
  </si>
  <si>
    <t>Email</t>
  </si>
  <si>
    <t>DateOfBirth</t>
  </si>
  <si>
    <t>AccountId</t>
  </si>
  <si>
    <t>AccountType</t>
  </si>
  <si>
    <t>BranchCode</t>
  </si>
  <si>
    <t>Country</t>
  </si>
  <si>
    <t>DateJoined</t>
  </si>
  <si>
    <t>Balance</t>
  </si>
  <si>
    <t>Alice Johnson</t>
  </si>
  <si>
    <t>alice.j@example.com</t>
  </si>
  <si>
    <t>ACCT-10002345</t>
  </si>
  <si>
    <t>Savings</t>
  </si>
  <si>
    <t>BR001</t>
  </si>
  <si>
    <t>Bob Smith</t>
  </si>
  <si>
    <t>bob.smith@xyz.com</t>
  </si>
  <si>
    <t>ACCT-10005678</t>
  </si>
  <si>
    <t>Checking</t>
  </si>
  <si>
    <t>BR002</t>
  </si>
  <si>
    <t>United States</t>
  </si>
  <si>
    <t>Cathy Davis</t>
  </si>
  <si>
    <t>cathy.davis@example.com</t>
  </si>
  <si>
    <t>ACCT-10007891</t>
  </si>
  <si>
    <t>BR003</t>
  </si>
  <si>
    <t>David Lee</t>
  </si>
  <si>
    <t>david.l@xyz.com</t>
  </si>
  <si>
    <t>ACCT-10001234</t>
  </si>
  <si>
    <t>BR004</t>
  </si>
  <si>
    <t>Eva Turner</t>
  </si>
  <si>
    <t>ACCT-10003456</t>
  </si>
  <si>
    <t>BR005</t>
  </si>
  <si>
    <t>Frank Zhang</t>
  </si>
  <si>
    <t>ACCT-10004567</t>
  </si>
  <si>
    <t>BR006</t>
  </si>
  <si>
    <t>Gina King</t>
  </si>
  <si>
    <t>ACCT-10008901</t>
  </si>
  <si>
    <t>BR007</t>
  </si>
  <si>
    <t>Canada</t>
  </si>
  <si>
    <t>Harry Brown</t>
  </si>
  <si>
    <t>ACCT-10006789</t>
  </si>
  <si>
    <t>BR008</t>
  </si>
  <si>
    <t>Ivy Scott</t>
  </si>
  <si>
    <t>ACCT-10009876</t>
  </si>
  <si>
    <t>BR009</t>
  </si>
  <si>
    <t>John Doe</t>
  </si>
  <si>
    <t>ACCT-10005432</t>
  </si>
  <si>
    <t>BR010</t>
  </si>
  <si>
    <t>Karen Green</t>
  </si>
  <si>
    <t>ACCT-10007654</t>
  </si>
  <si>
    <t>BR011</t>
  </si>
  <si>
    <t>Liam Miller</t>
  </si>
  <si>
    <t>ACCT-10004321</t>
  </si>
  <si>
    <t>BR012</t>
  </si>
  <si>
    <t>United Kingdom</t>
  </si>
  <si>
    <t>Mona Blue</t>
  </si>
  <si>
    <t>ACCT-10002134</t>
  </si>
  <si>
    <t>BR013</t>
  </si>
  <si>
    <t>Nate White</t>
  </si>
  <si>
    <t>ACCT-10006543</t>
  </si>
  <si>
    <t>BR014</t>
  </si>
  <si>
    <t>Olivia Black</t>
  </si>
  <si>
    <t>ACCT-10003210</t>
  </si>
  <si>
    <t>BR015</t>
  </si>
  <si>
    <t>Paul Walker</t>
  </si>
  <si>
    <t>ACCT-10005478</t>
  </si>
  <si>
    <t>BR016</t>
  </si>
  <si>
    <t>Australia</t>
  </si>
  <si>
    <t>Quinn Red</t>
  </si>
  <si>
    <t>ACCT-10008765</t>
  </si>
  <si>
    <t>BR017</t>
  </si>
  <si>
    <t>Rose Pink</t>
  </si>
  <si>
    <t>ACCT-10002301</t>
  </si>
  <si>
    <t>BR018</t>
  </si>
  <si>
    <t>New Zealand</t>
  </si>
  <si>
    <t>Sam Grey</t>
  </si>
  <si>
    <t>ACCT-10007621</t>
  </si>
  <si>
    <t>BR019</t>
  </si>
  <si>
    <t>Tim Orange</t>
  </si>
  <si>
    <t>ACCT-10003489</t>
  </si>
  <si>
    <t>BR020</t>
  </si>
  <si>
    <t>TransactionID</t>
  </si>
  <si>
    <t>TransactionDate</t>
  </si>
  <si>
    <t>TransactionType</t>
  </si>
  <si>
    <t>TransactionAmount</t>
  </si>
  <si>
    <t>TransactionLocation</t>
  </si>
  <si>
    <t>Deposit</t>
  </si>
  <si>
    <t>Withdrawal</t>
  </si>
  <si>
    <t>New York</t>
  </si>
  <si>
    <t>Cincinnati</t>
  </si>
  <si>
    <t>Texas</t>
  </si>
  <si>
    <t>Dallas</t>
  </si>
  <si>
    <t>No Email Provided</t>
  </si>
  <si>
    <t>Los Angeles</t>
  </si>
  <si>
    <t>San Francisco</t>
  </si>
  <si>
    <t>CustomerAge</t>
  </si>
  <si>
    <t>TransactionMonth</t>
  </si>
  <si>
    <t>BalanceCategory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</si>
</sst>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95EC7D-64B8-4DCA-9646-F3BF6C3B913A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CustomerID" tableColumnId="1"/>
      <queryTableField id="2" name="CustomerName" tableColumnId="2"/>
      <queryTableField id="3" name="Email" tableColumnId="3"/>
      <queryTableField id="4" name="DateOfBirth" tableColumnId="4"/>
      <queryTableField id="5" name="AccountId" tableColumnId="5"/>
      <queryTableField id="6" name="AccountType" tableColumnId="6"/>
      <queryTableField id="7" name="BranchCode" tableColumnId="7"/>
      <queryTableField id="8" name="Country" tableColumnId="8"/>
      <queryTableField id="9" name="DateJoined" tableColumnId="9"/>
      <queryTableField id="10" name="Balance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EA0F24-4AAC-4068-B254-0630C9B3C53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TransactionID" tableColumnId="1"/>
      <queryTableField id="2" name="AccountId" tableColumnId="2"/>
      <queryTableField id="3" name="TransactionDate" tableColumnId="3"/>
      <queryTableField id="4" name="TransactionType" tableColumnId="4"/>
      <queryTableField id="5" name="TransactionAmount" tableColumnId="5"/>
      <queryTableField id="6" name="TransactionLocatio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1D56A-38D1-4F00-8375-97759A573216}" name="Customer_Data" displayName="Customer_Data" ref="A1:L21" tableType="queryTable" totalsRowShown="0">
  <tableColumns count="12">
    <tableColumn id="1" xr3:uid="{A032DD29-4E1A-4CF8-A0EB-92592AC6C747}" uniqueName="1" name="CustomerID" queryTableFieldId="1"/>
    <tableColumn id="2" xr3:uid="{CE250556-5423-416D-9F80-D6042A5B099C}" uniqueName="2" name="CustomerName" queryTableFieldId="2" dataDxfId="10"/>
    <tableColumn id="3" xr3:uid="{523BB070-2675-4508-AA79-614F8ADD6ECD}" uniqueName="3" name="Email" queryTableFieldId="3" dataDxfId="9"/>
    <tableColumn id="4" xr3:uid="{961710D5-0F1D-41FD-8307-033605D30CAC}" uniqueName="4" name="DateOfBirth" queryTableFieldId="4" dataDxfId="8"/>
    <tableColumn id="5" xr3:uid="{72D7A06F-D745-45C7-96D5-016AB0787E7F}" uniqueName="5" name="AccountId" queryTableFieldId="5" dataDxfId="7"/>
    <tableColumn id="6" xr3:uid="{48D8EA5B-811F-45B6-83DD-F7CA84B4CEE3}" uniqueName="6" name="AccountType" queryTableFieldId="6" dataDxfId="6"/>
    <tableColumn id="7" xr3:uid="{7A6AC5AB-39BC-4E2E-A7C3-E7F9BD3F36E7}" uniqueName="7" name="BranchCode" queryTableFieldId="7" dataDxfId="5"/>
    <tableColumn id="8" xr3:uid="{545D60F7-B190-4616-87A1-FF0D0E813556}" uniqueName="8" name="Country" queryTableFieldId="8" dataDxfId="4"/>
    <tableColumn id="9" xr3:uid="{2570B0B9-CA3C-488E-8942-04BF1C65BE2F}" uniqueName="9" name="DateJoined" queryTableFieldId="9" dataDxfId="3"/>
    <tableColumn id="10" xr3:uid="{39407084-111B-4168-889D-2F9354589740}" uniqueName="10" name="Balance" queryTableFieldId="10" dataDxfId="2"/>
    <tableColumn id="11" xr3:uid="{DD192263-5600-4BAC-8A32-BDBFAD535A11}" uniqueName="11" name="CustomerAge" queryTableFieldId="11" dataDxfId="0">
      <calculatedColumnFormula>IF(Customer_Data[[#This Row],[DateOfBirth]]="","",DATEDIF(Customer_Data[[#This Row],[DateOfBirth]],TODAY(),"Y"))</calculatedColumnFormula>
    </tableColumn>
    <tableColumn id="12" xr3:uid="{2A1B6C87-F771-42D9-8A1A-D8566323C92A}" uniqueName="12" name="BalanceCategory" queryTableFieldId="12" dataDxfId="1">
      <calculatedColumnFormula>IF(Customer_Data[[#This Row],[Balance]]&gt;=10000, "High Balance", IF(Customer_Data[[#This Row],[Balance]]&gt;=5000, "Medium Balance",  "Low Balance"))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00479-828F-4B98-9613-61F2EA126886}" name="Transaction_Data" displayName="Transaction_Data" ref="A1:G21" tableType="queryTable" totalsRowShown="0">
  <tableColumns count="7">
    <tableColumn id="1" xr3:uid="{B12B9CAD-E50E-4BD5-8E53-91910AF96E85}" uniqueName="1" name="TransactionID" queryTableFieldId="1"/>
    <tableColumn id="2" xr3:uid="{E824891F-605F-45A9-B038-563D487F22BD}" uniqueName="2" name="AccountId" queryTableFieldId="2" dataDxfId="18"/>
    <tableColumn id="3" xr3:uid="{68E9AB6F-6FF5-4738-BF51-4B6EB5C7B42C}" uniqueName="3" name="TransactionDate" queryTableFieldId="3" dataDxfId="17"/>
    <tableColumn id="4" xr3:uid="{B8D334E8-AB7C-43A5-90C4-B8A91373B4ED}" uniqueName="4" name="TransactionType" queryTableFieldId="4" dataDxfId="16"/>
    <tableColumn id="5" xr3:uid="{BC4E6772-FE77-4BA7-8760-8E8069E98F88}" uniqueName="5" name="TransactionAmount" queryTableFieldId="5" dataDxfId="15"/>
    <tableColumn id="6" xr3:uid="{EEF48580-F42F-4C44-9883-5AA07F41F96A}" uniqueName="6" name="TransactionLocation" queryTableFieldId="6" dataDxfId="14"/>
    <tableColumn id="7" xr3:uid="{8B28DBA3-8F5E-4786-A3D4-A930EE7878AE}" uniqueName="7" name="TransactionMonth" queryTableFieldId="7" dataDxfId="11">
      <calculatedColumnFormula>TEXT(Transaction_Data[[#This Row],[TransactionDate]], "MMM")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A44-0917-4081-BCFF-D56446238BB7}">
  <dimension ref="A1:L21"/>
  <sheetViews>
    <sheetView tabSelected="1" workbookViewId="0">
      <selection activeCell="K2" sqref="K2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25" bestFit="1" customWidth="1"/>
    <col min="4" max="4" width="14" style="1" bestFit="1" customWidth="1"/>
    <col min="5" max="5" width="14.28515625" bestFit="1" customWidth="1"/>
    <col min="6" max="6" width="14.85546875" bestFit="1" customWidth="1"/>
    <col min="7" max="7" width="14.28515625" bestFit="1" customWidth="1"/>
    <col min="8" max="8" width="15.140625" bestFit="1" customWidth="1"/>
    <col min="9" max="9" width="13.42578125" bestFit="1" customWidth="1"/>
    <col min="10" max="10" width="12.42578125" bestFit="1" customWidth="1"/>
    <col min="11" max="11" width="13.42578125" bestFit="1" customWidth="1"/>
    <col min="12" max="12" width="16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95</v>
      </c>
      <c r="L1" t="s">
        <v>97</v>
      </c>
    </row>
    <row r="2" spans="1:12" x14ac:dyDescent="0.25">
      <c r="A2">
        <v>101</v>
      </c>
      <c r="B2" t="s">
        <v>10</v>
      </c>
      <c r="C2" t="s">
        <v>11</v>
      </c>
      <c r="D2" s="1">
        <v>33014</v>
      </c>
      <c r="E2" t="s">
        <v>12</v>
      </c>
      <c r="F2" t="s">
        <v>13</v>
      </c>
      <c r="G2" t="s">
        <v>14</v>
      </c>
      <c r="H2" t="s">
        <v>20</v>
      </c>
      <c r="I2" s="1">
        <v>43845</v>
      </c>
      <c r="J2">
        <v>12000</v>
      </c>
      <c r="K2" s="4">
        <f ca="1">IF(Customer_Data[[#This Row],[DateOfBirth]]="","",DATEDIF(Customer_Data[[#This Row],[DateOfBirth]],TODAY(),"Y"))</f>
        <v>35</v>
      </c>
      <c r="L2" s="4" t="str">
        <f>IF(Customer_Data[[#This Row],[Balance]]&gt;=10000, "High Balance", IF(Customer_Data[[#This Row],[Balance]]&gt;=5000, "Medium Balance",  "Low Balance"))</f>
        <v>High Balance</v>
      </c>
    </row>
    <row r="3" spans="1:12" x14ac:dyDescent="0.25">
      <c r="A3">
        <v>102</v>
      </c>
      <c r="B3" t="s">
        <v>15</v>
      </c>
      <c r="C3" t="s">
        <v>16</v>
      </c>
      <c r="D3" s="1">
        <v>31274</v>
      </c>
      <c r="E3" t="s">
        <v>17</v>
      </c>
      <c r="F3" t="s">
        <v>18</v>
      </c>
      <c r="G3" t="s">
        <v>19</v>
      </c>
      <c r="H3" t="s">
        <v>20</v>
      </c>
      <c r="I3" s="1">
        <v>43799</v>
      </c>
      <c r="J3">
        <v>3000</v>
      </c>
      <c r="K3" s="4">
        <f ca="1">IF(Customer_Data[[#This Row],[DateOfBirth]]="","",DATEDIF(Customer_Data[[#This Row],[DateOfBirth]],TODAY(),"Y"))</f>
        <v>40</v>
      </c>
      <c r="L3" s="4" t="str">
        <f>IF(Customer_Data[[#This Row],[Balance]]&gt;=10000, "High Balance", IF(Customer_Data[[#This Row],[Balance]]&gt;=5000, "Medium Balance",  "Low Balance"))</f>
        <v>Low Balance</v>
      </c>
    </row>
    <row r="4" spans="1:12" x14ac:dyDescent="0.25">
      <c r="A4">
        <v>103</v>
      </c>
      <c r="B4" t="s">
        <v>21</v>
      </c>
      <c r="C4" t="s">
        <v>22</v>
      </c>
      <c r="D4" s="1">
        <v>33911</v>
      </c>
      <c r="E4" t="s">
        <v>23</v>
      </c>
      <c r="F4" t="s">
        <v>13</v>
      </c>
      <c r="G4" t="s">
        <v>24</v>
      </c>
      <c r="H4" t="s">
        <v>20</v>
      </c>
      <c r="I4" s="1">
        <v>44348</v>
      </c>
      <c r="J4">
        <v>8500</v>
      </c>
      <c r="K4" s="4">
        <f ca="1">IF(Customer_Data[[#This Row],[DateOfBirth]]="","",DATEDIF(Customer_Data[[#This Row],[DateOfBirth]],TODAY(),"Y"))</f>
        <v>33</v>
      </c>
      <c r="L4" s="4" t="str">
        <f>IF(Customer_Data[[#This Row],[Balance]]&gt;=10000, "High Balance", IF(Customer_Data[[#This Row],[Balance]]&gt;=5000, "Medium Balance",  "Low Balance"))</f>
        <v>Medium Balance</v>
      </c>
    </row>
    <row r="5" spans="1:12" x14ac:dyDescent="0.25">
      <c r="A5">
        <v>104</v>
      </c>
      <c r="B5" t="s">
        <v>25</v>
      </c>
      <c r="C5" t="s">
        <v>26</v>
      </c>
      <c r="D5" s="1">
        <v>28549</v>
      </c>
      <c r="E5" t="s">
        <v>27</v>
      </c>
      <c r="F5" t="s">
        <v>13</v>
      </c>
      <c r="G5" t="s">
        <v>28</v>
      </c>
      <c r="H5" t="s">
        <v>20</v>
      </c>
      <c r="I5" s="1">
        <v>44275</v>
      </c>
      <c r="J5">
        <v>5000</v>
      </c>
      <c r="K5" s="4">
        <f ca="1">IF(Customer_Data[[#This Row],[DateOfBirth]]="","",DATEDIF(Customer_Data[[#This Row],[DateOfBirth]],TODAY(),"Y"))</f>
        <v>48</v>
      </c>
      <c r="L5" s="4" t="str">
        <f>IF(Customer_Data[[#This Row],[Balance]]&gt;=10000, "High Balance", IF(Customer_Data[[#This Row],[Balance]]&gt;=5000, "Medium Balance",  "Low Balance"))</f>
        <v>Medium Balance</v>
      </c>
    </row>
    <row r="6" spans="1:12" x14ac:dyDescent="0.25">
      <c r="A6">
        <v>105</v>
      </c>
      <c r="B6" t="s">
        <v>29</v>
      </c>
      <c r="C6" t="s">
        <v>92</v>
      </c>
      <c r="D6" s="1">
        <v>32605</v>
      </c>
      <c r="E6" t="s">
        <v>30</v>
      </c>
      <c r="F6" t="s">
        <v>18</v>
      </c>
      <c r="G6" t="s">
        <v>31</v>
      </c>
      <c r="H6" t="s">
        <v>20</v>
      </c>
      <c r="I6" s="1">
        <v>44031</v>
      </c>
      <c r="J6">
        <v>-1000</v>
      </c>
      <c r="K6" s="4">
        <f ca="1">IF(Customer_Data[[#This Row],[DateOfBirth]]="","",DATEDIF(Customer_Data[[#This Row],[DateOfBirth]],TODAY(),"Y"))</f>
        <v>36</v>
      </c>
      <c r="L6" s="4" t="str">
        <f>IF(Customer_Data[[#This Row],[Balance]]&gt;=10000, "High Balance", IF(Customer_Data[[#This Row],[Balance]]&gt;=5000, "Medium Balance",  "Low Balance"))</f>
        <v>Low Balance</v>
      </c>
    </row>
    <row r="7" spans="1:12" x14ac:dyDescent="0.25">
      <c r="A7">
        <v>106</v>
      </c>
      <c r="B7" t="s">
        <v>32</v>
      </c>
      <c r="C7" t="s">
        <v>92</v>
      </c>
      <c r="D7" s="1">
        <v>27741</v>
      </c>
      <c r="E7" t="s">
        <v>33</v>
      </c>
      <c r="F7" t="s">
        <v>13</v>
      </c>
      <c r="G7" t="s">
        <v>34</v>
      </c>
      <c r="H7" t="s">
        <v>20</v>
      </c>
      <c r="I7" s="1">
        <v>43354</v>
      </c>
      <c r="J7">
        <v>7500</v>
      </c>
      <c r="K7" s="4">
        <f ca="1">IF(Customer_Data[[#This Row],[DateOfBirth]]="","",DATEDIF(Customer_Data[[#This Row],[DateOfBirth]],TODAY(),"Y"))</f>
        <v>50</v>
      </c>
      <c r="L7" s="4" t="str">
        <f>IF(Customer_Data[[#This Row],[Balance]]&gt;=10000, "High Balance", IF(Customer_Data[[#This Row],[Balance]]&gt;=5000, "Medium Balance",  "Low Balance"))</f>
        <v>Medium Balance</v>
      </c>
    </row>
    <row r="8" spans="1:12" x14ac:dyDescent="0.25">
      <c r="A8">
        <v>107</v>
      </c>
      <c r="B8" t="s">
        <v>35</v>
      </c>
      <c r="C8" t="s">
        <v>92</v>
      </c>
      <c r="D8" s="1">
        <v>34048</v>
      </c>
      <c r="E8" t="s">
        <v>36</v>
      </c>
      <c r="F8" t="s">
        <v>13</v>
      </c>
      <c r="G8" t="s">
        <v>37</v>
      </c>
      <c r="H8" t="s">
        <v>38</v>
      </c>
      <c r="I8" s="1">
        <v>44570</v>
      </c>
      <c r="J8">
        <v>20000</v>
      </c>
      <c r="K8" s="4">
        <f ca="1">IF(Customer_Data[[#This Row],[DateOfBirth]]="","",DATEDIF(Customer_Data[[#This Row],[DateOfBirth]],TODAY(),"Y"))</f>
        <v>32</v>
      </c>
      <c r="L8" s="4" t="str">
        <f>IF(Customer_Data[[#This Row],[Balance]]&gt;=10000, "High Balance", IF(Customer_Data[[#This Row],[Balance]]&gt;=5000, "Medium Balance",  "Low Balance"))</f>
        <v>High Balance</v>
      </c>
    </row>
    <row r="9" spans="1:12" x14ac:dyDescent="0.25">
      <c r="A9">
        <v>108</v>
      </c>
      <c r="B9" t="s">
        <v>39</v>
      </c>
      <c r="C9" t="s">
        <v>92</v>
      </c>
      <c r="D9" s="1">
        <v>32035</v>
      </c>
      <c r="E9" t="s">
        <v>40</v>
      </c>
      <c r="F9" t="s">
        <v>18</v>
      </c>
      <c r="G9" t="s">
        <v>41</v>
      </c>
      <c r="H9" t="s">
        <v>20</v>
      </c>
      <c r="I9" s="1">
        <v>44064</v>
      </c>
      <c r="J9">
        <v>3500</v>
      </c>
      <c r="K9" s="4">
        <f ca="1">IF(Customer_Data[[#This Row],[DateOfBirth]]="","",DATEDIF(Customer_Data[[#This Row],[DateOfBirth]],TODAY(),"Y"))</f>
        <v>38</v>
      </c>
      <c r="L9" s="4" t="str">
        <f>IF(Customer_Data[[#This Row],[Balance]]&gt;=10000, "High Balance", IF(Customer_Data[[#This Row],[Balance]]&gt;=5000, "Medium Balance",  "Low Balance"))</f>
        <v>Low Balance</v>
      </c>
    </row>
    <row r="10" spans="1:12" x14ac:dyDescent="0.25">
      <c r="A10" s="2">
        <v>109</v>
      </c>
      <c r="B10" s="2" t="s">
        <v>42</v>
      </c>
      <c r="C10" s="2" t="s">
        <v>92</v>
      </c>
      <c r="D10" s="3"/>
      <c r="E10" s="2" t="s">
        <v>43</v>
      </c>
      <c r="F10" s="2" t="s">
        <v>13</v>
      </c>
      <c r="G10" s="2" t="s">
        <v>44</v>
      </c>
      <c r="H10" s="2" t="s">
        <v>38</v>
      </c>
      <c r="I10" s="3">
        <v>44514</v>
      </c>
      <c r="J10" s="2">
        <v>8000</v>
      </c>
      <c r="K10" s="4" t="str">
        <f ca="1">IF(Customer_Data[[#This Row],[DateOfBirth]]="","",DATEDIF(Customer_Data[[#This Row],[DateOfBirth]],TODAY(),"Y"))</f>
        <v/>
      </c>
      <c r="L10" s="4" t="str">
        <f>IF(Customer_Data[[#This Row],[Balance]]&gt;=10000, "High Balance", IF(Customer_Data[[#This Row],[Balance]]&gt;=5000, "Medium Balance",  "Low Balance"))</f>
        <v>Medium Balance</v>
      </c>
    </row>
    <row r="11" spans="1:12" x14ac:dyDescent="0.25">
      <c r="A11">
        <v>110</v>
      </c>
      <c r="B11" t="s">
        <v>45</v>
      </c>
      <c r="C11" t="s">
        <v>92</v>
      </c>
      <c r="D11" s="1">
        <v>32874</v>
      </c>
      <c r="E11" t="s">
        <v>46</v>
      </c>
      <c r="F11" t="s">
        <v>13</v>
      </c>
      <c r="G11" t="s">
        <v>47</v>
      </c>
      <c r="H11" t="s">
        <v>20</v>
      </c>
      <c r="I11" s="1">
        <v>44649</v>
      </c>
      <c r="J11">
        <v>0</v>
      </c>
      <c r="K11" s="4">
        <f ca="1">IF(Customer_Data[[#This Row],[DateOfBirth]]="","",DATEDIF(Customer_Data[[#This Row],[DateOfBirth]],TODAY(),"Y"))</f>
        <v>36</v>
      </c>
      <c r="L11" s="4" t="str">
        <f>IF(Customer_Data[[#This Row],[Balance]]&gt;=10000, "High Balance", IF(Customer_Data[[#This Row],[Balance]]&gt;=5000, "Medium Balance",  "Low Balance"))</f>
        <v>Low Balance</v>
      </c>
    </row>
    <row r="12" spans="1:12" x14ac:dyDescent="0.25">
      <c r="A12">
        <v>111</v>
      </c>
      <c r="B12" t="s">
        <v>48</v>
      </c>
      <c r="C12" t="s">
        <v>92</v>
      </c>
      <c r="D12" s="1">
        <v>30997</v>
      </c>
      <c r="E12" t="s">
        <v>49</v>
      </c>
      <c r="F12" t="s">
        <v>13</v>
      </c>
      <c r="G12" t="s">
        <v>50</v>
      </c>
      <c r="H12" t="s">
        <v>20</v>
      </c>
      <c r="I12" s="1">
        <v>44535</v>
      </c>
      <c r="J12">
        <v>6000</v>
      </c>
      <c r="K12" s="4">
        <f ca="1">IF(Customer_Data[[#This Row],[DateOfBirth]]="","",DATEDIF(Customer_Data[[#This Row],[DateOfBirth]],TODAY(),"Y"))</f>
        <v>41</v>
      </c>
      <c r="L12" s="4" t="str">
        <f>IF(Customer_Data[[#This Row],[Balance]]&gt;=10000, "High Balance", IF(Customer_Data[[#This Row],[Balance]]&gt;=5000, "Medium Balance",  "Low Balance"))</f>
        <v>Medium Balance</v>
      </c>
    </row>
    <row r="13" spans="1:12" x14ac:dyDescent="0.25">
      <c r="A13">
        <v>112</v>
      </c>
      <c r="B13" t="s">
        <v>51</v>
      </c>
      <c r="C13" t="s">
        <v>92</v>
      </c>
      <c r="D13" s="1">
        <v>33291</v>
      </c>
      <c r="E13" t="s">
        <v>52</v>
      </c>
      <c r="F13" t="s">
        <v>18</v>
      </c>
      <c r="G13" t="s">
        <v>53</v>
      </c>
      <c r="H13" t="s">
        <v>54</v>
      </c>
      <c r="I13" s="1">
        <v>43610</v>
      </c>
      <c r="J13">
        <v>5500</v>
      </c>
      <c r="K13" s="4">
        <f ca="1">IF(Customer_Data[[#This Row],[DateOfBirth]]="","",DATEDIF(Customer_Data[[#This Row],[DateOfBirth]],TODAY(),"Y"))</f>
        <v>35</v>
      </c>
      <c r="L13" s="4" t="str">
        <f>IF(Customer_Data[[#This Row],[Balance]]&gt;=10000, "High Balance", IF(Customer_Data[[#This Row],[Balance]]&gt;=5000, "Medium Balance",  "Low Balance"))</f>
        <v>Medium Balance</v>
      </c>
    </row>
    <row r="14" spans="1:12" x14ac:dyDescent="0.25">
      <c r="A14" s="2">
        <v>113</v>
      </c>
      <c r="B14" s="2" t="s">
        <v>55</v>
      </c>
      <c r="C14" s="2" t="s">
        <v>92</v>
      </c>
      <c r="D14" s="3"/>
      <c r="E14" s="2" t="s">
        <v>56</v>
      </c>
      <c r="F14" s="2" t="s">
        <v>13</v>
      </c>
      <c r="G14" s="2" t="s">
        <v>57</v>
      </c>
      <c r="H14" s="2" t="s">
        <v>20</v>
      </c>
      <c r="I14" s="3">
        <v>44579</v>
      </c>
      <c r="J14" s="2">
        <v>4000</v>
      </c>
      <c r="K14" s="4" t="str">
        <f ca="1">IF(Customer_Data[[#This Row],[DateOfBirth]]="","",DATEDIF(Customer_Data[[#This Row],[DateOfBirth]],TODAY(),"Y"))</f>
        <v/>
      </c>
      <c r="L14" s="4" t="str">
        <f>IF(Customer_Data[[#This Row],[Balance]]&gt;=10000, "High Balance", IF(Customer_Data[[#This Row],[Balance]]&gt;=5000, "Medium Balance",  "Low Balance"))</f>
        <v>Low Balance</v>
      </c>
    </row>
    <row r="15" spans="1:12" x14ac:dyDescent="0.25">
      <c r="A15">
        <v>114</v>
      </c>
      <c r="B15" t="s">
        <v>58</v>
      </c>
      <c r="C15" t="s">
        <v>92</v>
      </c>
      <c r="D15" s="1">
        <v>34982</v>
      </c>
      <c r="E15" t="s">
        <v>59</v>
      </c>
      <c r="F15" t="s">
        <v>18</v>
      </c>
      <c r="G15" t="s">
        <v>60</v>
      </c>
      <c r="H15" t="s">
        <v>38</v>
      </c>
      <c r="I15" s="1">
        <v>43281</v>
      </c>
      <c r="J15">
        <v>10000</v>
      </c>
      <c r="K15" s="4">
        <f ca="1">IF(Customer_Data[[#This Row],[DateOfBirth]]="","",DATEDIF(Customer_Data[[#This Row],[DateOfBirth]],TODAY(),"Y"))</f>
        <v>30</v>
      </c>
      <c r="L15" s="4" t="str">
        <f>IF(Customer_Data[[#This Row],[Balance]]&gt;=10000, "High Balance", IF(Customer_Data[[#This Row],[Balance]]&gt;=5000, "Medium Balance",  "Low Balance"))</f>
        <v>High Balance</v>
      </c>
    </row>
    <row r="16" spans="1:12" x14ac:dyDescent="0.25">
      <c r="A16">
        <v>115</v>
      </c>
      <c r="B16" t="s">
        <v>61</v>
      </c>
      <c r="C16" t="s">
        <v>92</v>
      </c>
      <c r="D16" s="1">
        <v>30118</v>
      </c>
      <c r="E16" t="s">
        <v>62</v>
      </c>
      <c r="F16" t="s">
        <v>13</v>
      </c>
      <c r="G16" t="s">
        <v>63</v>
      </c>
      <c r="H16" t="s">
        <v>20</v>
      </c>
      <c r="I16" s="1">
        <v>44396</v>
      </c>
      <c r="J16">
        <v>1500</v>
      </c>
      <c r="K16" s="4">
        <f ca="1">IF(Customer_Data[[#This Row],[DateOfBirth]]="","",DATEDIF(Customer_Data[[#This Row],[DateOfBirth]],TODAY(),"Y"))</f>
        <v>43</v>
      </c>
      <c r="L16" s="4" t="str">
        <f>IF(Customer_Data[[#This Row],[Balance]]&gt;=10000, "High Balance", IF(Customer_Data[[#This Row],[Balance]]&gt;=5000, "Medium Balance",  "Low Balance"))</f>
        <v>Low Balance</v>
      </c>
    </row>
    <row r="17" spans="1:12" x14ac:dyDescent="0.25">
      <c r="A17">
        <v>116</v>
      </c>
      <c r="B17" t="s">
        <v>64</v>
      </c>
      <c r="C17" t="s">
        <v>92</v>
      </c>
      <c r="D17" s="1">
        <v>35981</v>
      </c>
      <c r="E17" t="s">
        <v>65</v>
      </c>
      <c r="F17" t="s">
        <v>13</v>
      </c>
      <c r="G17" t="s">
        <v>66</v>
      </c>
      <c r="H17" t="s">
        <v>67</v>
      </c>
      <c r="I17" s="1">
        <v>44099</v>
      </c>
      <c r="J17">
        <v>-500</v>
      </c>
      <c r="K17" s="4">
        <f ca="1">IF(Customer_Data[[#This Row],[DateOfBirth]]="","",DATEDIF(Customer_Data[[#This Row],[DateOfBirth]],TODAY(),"Y"))</f>
        <v>27</v>
      </c>
      <c r="L17" s="4" t="str">
        <f>IF(Customer_Data[[#This Row],[Balance]]&gt;=10000, "High Balance", IF(Customer_Data[[#This Row],[Balance]]&gt;=5000, "Medium Balance",  "Low Balance"))</f>
        <v>Low Balance</v>
      </c>
    </row>
    <row r="18" spans="1:12" x14ac:dyDescent="0.25">
      <c r="A18">
        <v>117</v>
      </c>
      <c r="B18" t="s">
        <v>68</v>
      </c>
      <c r="C18" t="s">
        <v>92</v>
      </c>
      <c r="D18" s="1">
        <v>28967</v>
      </c>
      <c r="E18" t="s">
        <v>69</v>
      </c>
      <c r="F18" t="s">
        <v>13</v>
      </c>
      <c r="G18" t="s">
        <v>70</v>
      </c>
      <c r="H18" t="s">
        <v>54</v>
      </c>
      <c r="I18" s="1">
        <v>43510</v>
      </c>
      <c r="J18">
        <v>23000</v>
      </c>
      <c r="K18" s="4">
        <f ca="1">IF(Customer_Data[[#This Row],[DateOfBirth]]="","",DATEDIF(Customer_Data[[#This Row],[DateOfBirth]],TODAY(),"Y"))</f>
        <v>46</v>
      </c>
      <c r="L18" s="4" t="str">
        <f>IF(Customer_Data[[#This Row],[Balance]]&gt;=10000, "High Balance", IF(Customer_Data[[#This Row],[Balance]]&gt;=5000, "Medium Balance",  "Low Balance"))</f>
        <v>High Balance</v>
      </c>
    </row>
    <row r="19" spans="1:12" x14ac:dyDescent="0.25">
      <c r="A19">
        <v>118</v>
      </c>
      <c r="B19" t="s">
        <v>71</v>
      </c>
      <c r="C19" t="s">
        <v>92</v>
      </c>
      <c r="D19" s="1">
        <v>31632</v>
      </c>
      <c r="E19" t="s">
        <v>72</v>
      </c>
      <c r="F19" t="s">
        <v>18</v>
      </c>
      <c r="G19" t="s">
        <v>73</v>
      </c>
      <c r="H19" t="s">
        <v>74</v>
      </c>
      <c r="I19" s="1">
        <v>44629</v>
      </c>
      <c r="J19">
        <v>8700</v>
      </c>
      <c r="K19" s="4">
        <f ca="1">IF(Customer_Data[[#This Row],[DateOfBirth]]="","",DATEDIF(Customer_Data[[#This Row],[DateOfBirth]],TODAY(),"Y"))</f>
        <v>39</v>
      </c>
      <c r="L19" s="4" t="str">
        <f>IF(Customer_Data[[#This Row],[Balance]]&gt;=10000, "High Balance", IF(Customer_Data[[#This Row],[Balance]]&gt;=5000, "Medium Balance",  "Low Balance"))</f>
        <v>Medium Balance</v>
      </c>
    </row>
    <row r="20" spans="1:12" x14ac:dyDescent="0.25">
      <c r="A20">
        <v>119</v>
      </c>
      <c r="B20" t="s">
        <v>75</v>
      </c>
      <c r="C20" t="s">
        <v>92</v>
      </c>
      <c r="D20" s="1">
        <v>33134</v>
      </c>
      <c r="E20" t="s">
        <v>76</v>
      </c>
      <c r="F20" t="s">
        <v>18</v>
      </c>
      <c r="G20" t="s">
        <v>77</v>
      </c>
      <c r="H20" t="s">
        <v>54</v>
      </c>
      <c r="I20" s="1">
        <v>43925</v>
      </c>
      <c r="J20">
        <v>500</v>
      </c>
      <c r="K20" s="4">
        <f ca="1">IF(Customer_Data[[#This Row],[DateOfBirth]]="","",DATEDIF(Customer_Data[[#This Row],[DateOfBirth]],TODAY(),"Y"))</f>
        <v>35</v>
      </c>
      <c r="L20" s="4" t="str">
        <f>IF(Customer_Data[[#This Row],[Balance]]&gt;=10000, "High Balance", IF(Customer_Data[[#This Row],[Balance]]&gt;=5000, "Medium Balance",  "Low Balance"))</f>
        <v>Low Balance</v>
      </c>
    </row>
    <row r="21" spans="1:12" x14ac:dyDescent="0.25">
      <c r="A21">
        <v>120</v>
      </c>
      <c r="B21" t="s">
        <v>78</v>
      </c>
      <c r="C21" t="s">
        <v>92</v>
      </c>
      <c r="D21" s="1">
        <v>30681</v>
      </c>
      <c r="E21" t="s">
        <v>79</v>
      </c>
      <c r="F21" t="s">
        <v>13</v>
      </c>
      <c r="G21" t="s">
        <v>80</v>
      </c>
      <c r="H21" t="s">
        <v>38</v>
      </c>
      <c r="I21" s="1">
        <v>43669</v>
      </c>
      <c r="J21">
        <v>9200</v>
      </c>
      <c r="K21" s="4">
        <f ca="1">IF(Customer_Data[[#This Row],[DateOfBirth]]="","",DATEDIF(Customer_Data[[#This Row],[DateOfBirth]],TODAY(),"Y"))</f>
        <v>42</v>
      </c>
      <c r="L21" s="4" t="str">
        <f>IF(Customer_Data[[#This Row],[Balance]]&gt;=10000, "High Balance", IF(Customer_Data[[#This Row],[Balance]]&gt;=5000, "Medium Balance",  "Low Balance"))</f>
        <v>Medium Balance</v>
      </c>
    </row>
  </sheetData>
  <conditionalFormatting sqref="J1:J1048576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B315-F7CB-47DE-BA83-30087A30104C}">
  <dimension ref="A1:G21"/>
  <sheetViews>
    <sheetView workbookViewId="0">
      <selection activeCell="G3" sqref="G3"/>
    </sheetView>
  </sheetViews>
  <sheetFormatPr defaultRowHeight="15" x14ac:dyDescent="0.25"/>
  <cols>
    <col min="1" max="1" width="15.85546875" bestFit="1" customWidth="1"/>
    <col min="2" max="2" width="14.28515625" bestFit="1" customWidth="1"/>
    <col min="3" max="3" width="18.140625" style="1" bestFit="1" customWidth="1"/>
    <col min="4" max="4" width="18.140625" bestFit="1" customWidth="1"/>
    <col min="5" max="5" width="21" bestFit="1" customWidth="1"/>
    <col min="6" max="6" width="21.7109375" bestFit="1" customWidth="1"/>
    <col min="7" max="7" width="17.42578125" bestFit="1" customWidth="1"/>
  </cols>
  <sheetData>
    <row r="1" spans="1:7" x14ac:dyDescent="0.25">
      <c r="A1" t="s">
        <v>81</v>
      </c>
      <c r="B1" t="s">
        <v>4</v>
      </c>
      <c r="C1" s="1" t="s">
        <v>82</v>
      </c>
      <c r="D1" t="s">
        <v>83</v>
      </c>
      <c r="E1" t="s">
        <v>84</v>
      </c>
      <c r="F1" t="s">
        <v>85</v>
      </c>
      <c r="G1" t="s">
        <v>96</v>
      </c>
    </row>
    <row r="2" spans="1:7" x14ac:dyDescent="0.25">
      <c r="A2">
        <v>201</v>
      </c>
      <c r="B2" t="s">
        <v>12</v>
      </c>
      <c r="C2" s="1">
        <v>44566</v>
      </c>
      <c r="D2" t="s">
        <v>86</v>
      </c>
      <c r="E2">
        <v>500</v>
      </c>
      <c r="F2" t="s">
        <v>88</v>
      </c>
      <c r="G2" s="4" t="str">
        <f>TEXT(Transaction_Data[[#This Row],[TransactionDate]], "MMM")</f>
        <v>Jan</v>
      </c>
    </row>
    <row r="3" spans="1:7" x14ac:dyDescent="0.25">
      <c r="A3">
        <v>202</v>
      </c>
      <c r="B3" t="s">
        <v>17</v>
      </c>
      <c r="C3" s="1">
        <v>44607</v>
      </c>
      <c r="D3" t="s">
        <v>87</v>
      </c>
      <c r="E3">
        <v>200</v>
      </c>
      <c r="F3" t="s">
        <v>88</v>
      </c>
      <c r="G3" s="4" t="str">
        <f>TEXT(Transaction_Data[[#This Row],[TransactionDate]], "MMM")</f>
        <v>Feb</v>
      </c>
    </row>
    <row r="4" spans="1:7" x14ac:dyDescent="0.25">
      <c r="A4">
        <v>203</v>
      </c>
      <c r="B4" t="s">
        <v>23</v>
      </c>
      <c r="C4" s="1">
        <v>44635</v>
      </c>
      <c r="D4" t="s">
        <v>86</v>
      </c>
      <c r="E4">
        <v>300</v>
      </c>
      <c r="F4" t="s">
        <v>93</v>
      </c>
      <c r="G4" s="4" t="str">
        <f>TEXT(Transaction_Data[[#This Row],[TransactionDate]], "MMM")</f>
        <v>Mar</v>
      </c>
    </row>
    <row r="5" spans="1:7" x14ac:dyDescent="0.25">
      <c r="A5">
        <v>204</v>
      </c>
      <c r="B5" t="s">
        <v>27</v>
      </c>
      <c r="C5" s="1">
        <v>44661</v>
      </c>
      <c r="D5" t="s">
        <v>87</v>
      </c>
      <c r="E5">
        <v>-400</v>
      </c>
      <c r="F5" t="s">
        <v>89</v>
      </c>
      <c r="G5" s="4" t="str">
        <f>TEXT(Transaction_Data[[#This Row],[TransactionDate]], "MMM")</f>
        <v>Apr</v>
      </c>
    </row>
    <row r="6" spans="1:7" x14ac:dyDescent="0.25">
      <c r="A6">
        <v>205</v>
      </c>
      <c r="B6" t="s">
        <v>30</v>
      </c>
      <c r="C6" s="1">
        <v>44681</v>
      </c>
      <c r="D6" t="s">
        <v>86</v>
      </c>
      <c r="E6">
        <v>450</v>
      </c>
      <c r="F6" t="s">
        <v>94</v>
      </c>
      <c r="G6" s="4" t="str">
        <f>TEXT(Transaction_Data[[#This Row],[TransactionDate]], "MMM")</f>
        <v>Apr</v>
      </c>
    </row>
    <row r="7" spans="1:7" x14ac:dyDescent="0.25">
      <c r="A7">
        <v>206</v>
      </c>
      <c r="B7" t="s">
        <v>33</v>
      </c>
      <c r="C7" s="1">
        <v>44701</v>
      </c>
      <c r="D7" t="s">
        <v>87</v>
      </c>
      <c r="E7">
        <v>100</v>
      </c>
      <c r="F7" t="s">
        <v>90</v>
      </c>
      <c r="G7" s="4" t="str">
        <f>TEXT(Transaction_Data[[#This Row],[TransactionDate]], "MMM")</f>
        <v>May</v>
      </c>
    </row>
    <row r="8" spans="1:7" x14ac:dyDescent="0.25">
      <c r="A8">
        <v>207</v>
      </c>
      <c r="B8" t="s">
        <v>36</v>
      </c>
      <c r="C8" s="1">
        <v>44737</v>
      </c>
      <c r="D8" t="s">
        <v>86</v>
      </c>
      <c r="E8">
        <v>750</v>
      </c>
      <c r="F8" t="s">
        <v>91</v>
      </c>
      <c r="G8" s="4" t="str">
        <f>TEXT(Transaction_Data[[#This Row],[TransactionDate]], "MMM")</f>
        <v>Jun</v>
      </c>
    </row>
    <row r="9" spans="1:7" x14ac:dyDescent="0.25">
      <c r="A9">
        <v>208</v>
      </c>
      <c r="B9" t="s">
        <v>40</v>
      </c>
      <c r="C9" s="1">
        <v>44747</v>
      </c>
      <c r="D9" t="s">
        <v>87</v>
      </c>
      <c r="E9">
        <v>200</v>
      </c>
      <c r="F9" t="s">
        <v>91</v>
      </c>
      <c r="G9" s="4" t="str">
        <f>TEXT(Transaction_Data[[#This Row],[TransactionDate]], "MMM")</f>
        <v>Jul</v>
      </c>
    </row>
    <row r="10" spans="1:7" x14ac:dyDescent="0.25">
      <c r="A10">
        <v>209</v>
      </c>
      <c r="B10" t="s">
        <v>43</v>
      </c>
      <c r="C10" s="1">
        <v>44788</v>
      </c>
      <c r="D10" t="s">
        <v>86</v>
      </c>
      <c r="E10">
        <v>600</v>
      </c>
      <c r="F10" t="s">
        <v>88</v>
      </c>
      <c r="G10" s="4" t="str">
        <f>TEXT(Transaction_Data[[#This Row],[TransactionDate]], "MMM")</f>
        <v>Aug</v>
      </c>
    </row>
    <row r="11" spans="1:7" x14ac:dyDescent="0.25">
      <c r="A11">
        <v>210</v>
      </c>
      <c r="B11" t="s">
        <v>46</v>
      </c>
      <c r="C11" s="1">
        <v>44805</v>
      </c>
      <c r="D11" t="s">
        <v>87</v>
      </c>
      <c r="E11">
        <v>0</v>
      </c>
      <c r="F11" t="s">
        <v>88</v>
      </c>
      <c r="G11" s="4" t="str">
        <f>TEXT(Transaction_Data[[#This Row],[TransactionDate]], "MMM")</f>
        <v>Sep</v>
      </c>
    </row>
    <row r="12" spans="1:7" x14ac:dyDescent="0.25">
      <c r="A12">
        <v>211</v>
      </c>
      <c r="B12" t="s">
        <v>49</v>
      </c>
      <c r="C12" s="1">
        <v>44846</v>
      </c>
      <c r="D12" t="s">
        <v>86</v>
      </c>
      <c r="E12">
        <v>400</v>
      </c>
      <c r="F12" t="s">
        <v>94</v>
      </c>
      <c r="G12" s="4" t="str">
        <f>TEXT(Transaction_Data[[#This Row],[TransactionDate]], "MMM")</f>
        <v>Oct</v>
      </c>
    </row>
    <row r="13" spans="1:7" x14ac:dyDescent="0.25">
      <c r="A13">
        <v>212</v>
      </c>
      <c r="B13" t="s">
        <v>52</v>
      </c>
      <c r="C13" s="1">
        <v>44876</v>
      </c>
      <c r="D13" t="s">
        <v>87</v>
      </c>
      <c r="E13">
        <v>100</v>
      </c>
      <c r="F13" t="s">
        <v>94</v>
      </c>
      <c r="G13" s="4" t="str">
        <f>TEXT(Transaction_Data[[#This Row],[TransactionDate]], "MMM")</f>
        <v>Nov</v>
      </c>
    </row>
    <row r="14" spans="1:7" x14ac:dyDescent="0.25">
      <c r="A14">
        <v>213</v>
      </c>
      <c r="B14" t="s">
        <v>56</v>
      </c>
      <c r="C14" s="1">
        <v>44920</v>
      </c>
      <c r="D14" t="s">
        <v>86</v>
      </c>
      <c r="E14">
        <v>250</v>
      </c>
      <c r="F14" t="s">
        <v>93</v>
      </c>
      <c r="G14" s="4" t="str">
        <f>TEXT(Transaction_Data[[#This Row],[TransactionDate]], "MMM")</f>
        <v>Dec</v>
      </c>
    </row>
    <row r="15" spans="1:7" x14ac:dyDescent="0.25">
      <c r="A15">
        <v>214</v>
      </c>
      <c r="B15" t="s">
        <v>59</v>
      </c>
      <c r="C15" s="1">
        <v>44576</v>
      </c>
      <c r="D15" t="s">
        <v>86</v>
      </c>
      <c r="E15">
        <v>1000</v>
      </c>
      <c r="F15" t="s">
        <v>89</v>
      </c>
      <c r="G15" s="4" t="str">
        <f>TEXT(Transaction_Data[[#This Row],[TransactionDate]], "MMM")</f>
        <v>Jan</v>
      </c>
    </row>
    <row r="16" spans="1:7" x14ac:dyDescent="0.25">
      <c r="A16">
        <v>215</v>
      </c>
      <c r="B16" t="s">
        <v>62</v>
      </c>
      <c r="C16" s="1">
        <v>44620</v>
      </c>
      <c r="D16" t="s">
        <v>87</v>
      </c>
      <c r="E16">
        <v>-200</v>
      </c>
      <c r="F16" t="s">
        <v>91</v>
      </c>
      <c r="G16" s="4" t="str">
        <f>TEXT(Transaction_Data[[#This Row],[TransactionDate]], "MMM")</f>
        <v>Feb</v>
      </c>
    </row>
    <row r="17" spans="1:7" x14ac:dyDescent="0.25">
      <c r="A17">
        <v>216</v>
      </c>
      <c r="B17" t="s">
        <v>65</v>
      </c>
      <c r="C17" s="1">
        <v>44634</v>
      </c>
      <c r="D17" t="s">
        <v>86</v>
      </c>
      <c r="E17">
        <v>500</v>
      </c>
      <c r="F17" t="s">
        <v>91</v>
      </c>
      <c r="G17" s="4" t="str">
        <f>TEXT(Transaction_Data[[#This Row],[TransactionDate]], "MMM")</f>
        <v>Mar</v>
      </c>
    </row>
    <row r="18" spans="1:7" x14ac:dyDescent="0.25">
      <c r="A18">
        <v>217</v>
      </c>
      <c r="B18" t="s">
        <v>69</v>
      </c>
      <c r="C18" s="1">
        <v>44673</v>
      </c>
      <c r="D18" t="s">
        <v>86</v>
      </c>
      <c r="E18">
        <v>800</v>
      </c>
      <c r="F18" t="s">
        <v>88</v>
      </c>
      <c r="G18" s="4" t="str">
        <f>TEXT(Transaction_Data[[#This Row],[TransactionDate]], "MMM")</f>
        <v>Apr</v>
      </c>
    </row>
    <row r="19" spans="1:7" x14ac:dyDescent="0.25">
      <c r="A19">
        <v>218</v>
      </c>
      <c r="B19" t="s">
        <v>72</v>
      </c>
      <c r="C19" s="1">
        <v>44711</v>
      </c>
      <c r="D19" t="s">
        <v>87</v>
      </c>
      <c r="E19">
        <v>700</v>
      </c>
      <c r="F19" t="s">
        <v>88</v>
      </c>
      <c r="G19" s="4" t="str">
        <f>TEXT(Transaction_Data[[#This Row],[TransactionDate]], "MMM")</f>
        <v>May</v>
      </c>
    </row>
    <row r="20" spans="1:7" x14ac:dyDescent="0.25">
      <c r="A20">
        <v>219</v>
      </c>
      <c r="B20" t="s">
        <v>76</v>
      </c>
      <c r="C20" s="1">
        <v>44727</v>
      </c>
      <c r="D20" t="s">
        <v>86</v>
      </c>
      <c r="E20">
        <v>350</v>
      </c>
      <c r="F20" t="s">
        <v>94</v>
      </c>
      <c r="G20" s="4" t="str">
        <f>TEXT(Transaction_Data[[#This Row],[TransactionDate]], "MMM")</f>
        <v>Jun</v>
      </c>
    </row>
    <row r="21" spans="1:7" x14ac:dyDescent="0.25">
      <c r="A21">
        <v>220</v>
      </c>
      <c r="B21" t="s">
        <v>79</v>
      </c>
      <c r="C21" s="1">
        <v>44762</v>
      </c>
      <c r="D21" t="s">
        <v>87</v>
      </c>
      <c r="E21">
        <v>600</v>
      </c>
      <c r="F21" t="s">
        <v>94</v>
      </c>
      <c r="G21" s="4" t="str">
        <f>TEXT(Transaction_Data[[#This Row],[TransactionDate]], "MMM")</f>
        <v>Jul</v>
      </c>
    </row>
  </sheetData>
  <conditionalFormatting sqref="E1:E1048576">
    <cfRule type="cellIs" dxfId="1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9B34-55F6-43D8-82EC-550544B9E4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4C958-87E1-4980-A16E-EC5228A15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Transaction_Data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Shahidullah Chowdhury</dc:creator>
  <cp:lastModifiedBy>Mohammad Shahidullah Chowdhury</cp:lastModifiedBy>
  <dcterms:created xsi:type="dcterms:W3CDTF">2026-03-09T05:59:38Z</dcterms:created>
  <dcterms:modified xsi:type="dcterms:W3CDTF">2026-03-09T13:34:05Z</dcterms:modified>
</cp:coreProperties>
</file>